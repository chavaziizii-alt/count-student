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 filterPrivacy="1"/>
  <xr:revisionPtr revIDLastSave="0" documentId="8_{9FF9E8E9-9E20-4B14-8497-2957F4712C01}" xr6:coauthVersionLast="47" xr6:coauthVersionMax="47" xr10:uidLastSave="{00000000-0000-0000-0000-000000000000}"/>
  <bookViews>
    <workbookView xWindow="-98" yWindow="-98" windowWidth="20715" windowHeight="13276" xr2:uid="{00000000-000D-0000-FFFF-FFFF00000000}"/>
  </bookViews>
  <sheets>
    <sheet name="یازدهم انسانی" sheetId="1" r:id="rId1"/>
    <sheet name="یازدهم تجربی" sheetId="2" r:id="rId2"/>
    <sheet name="دوازدهم انسانی" sheetId="3" r:id="rId3"/>
    <sheet name="دوازدهم تجربی" sheetId="4" r:id="rId4"/>
  </sheets>
  <definedNames>
    <definedName name="_xlnm._FilterDatabase" localSheetId="2" hidden="1">'دوازدهم انسانی'!$A$1:$V$110</definedName>
    <definedName name="_xlnm._FilterDatabase" localSheetId="3" hidden="1">'دوازدهم تجربی'!$A$1:$V$110</definedName>
    <definedName name="_xlnm._FilterDatabase" localSheetId="0" hidden="1">'یازدهم انسانی'!$A$1:$V$110</definedName>
    <definedName name="_xlnm._FilterDatabase" localSheetId="1" hidden="1">'یازدهم تجربی'!$A$1:$V$110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1" l="1"/>
  <c r="E2" i="1" s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4" i="1"/>
  <c r="E110" i="4" l="1"/>
  <c r="E109" i="4"/>
  <c r="E108" i="4"/>
  <c r="E107" i="4"/>
  <c r="E106" i="4"/>
  <c r="E105" i="4"/>
  <c r="E104" i="4"/>
  <c r="E103" i="4"/>
  <c r="E102" i="4"/>
  <c r="E101" i="4"/>
  <c r="E100" i="4"/>
  <c r="E99" i="4"/>
  <c r="E98" i="4"/>
  <c r="E97" i="4"/>
  <c r="E96" i="4"/>
  <c r="E95" i="4"/>
  <c r="E94" i="4"/>
  <c r="E93" i="4"/>
  <c r="E92" i="4"/>
  <c r="E91" i="4"/>
  <c r="E90" i="4"/>
  <c r="E89" i="4"/>
  <c r="E88" i="4"/>
  <c r="E87" i="4"/>
  <c r="E86" i="4"/>
  <c r="E85" i="4"/>
  <c r="E84" i="4"/>
  <c r="E83" i="4"/>
  <c r="E82" i="4"/>
  <c r="E81" i="4"/>
  <c r="E80" i="4"/>
  <c r="E79" i="4"/>
  <c r="E78" i="4"/>
  <c r="E77" i="4"/>
  <c r="E76" i="4"/>
  <c r="E75" i="4"/>
  <c r="E74" i="4"/>
  <c r="E73" i="4"/>
  <c r="E72" i="4"/>
  <c r="E71" i="4"/>
  <c r="E70" i="4"/>
  <c r="E69" i="4"/>
  <c r="E68" i="4"/>
  <c r="E67" i="4"/>
  <c r="E66" i="4"/>
  <c r="E65" i="4"/>
  <c r="E64" i="4"/>
  <c r="E63" i="4"/>
  <c r="E62" i="4"/>
  <c r="E61" i="4"/>
  <c r="E60" i="4"/>
  <c r="E59" i="4"/>
  <c r="E58" i="4"/>
  <c r="E57" i="4"/>
  <c r="E56" i="4"/>
  <c r="E55" i="4"/>
  <c r="E54" i="4"/>
  <c r="E53" i="4"/>
  <c r="E52" i="4"/>
  <c r="E51" i="4"/>
  <c r="E50" i="4"/>
  <c r="E49" i="4"/>
  <c r="E48" i="4"/>
  <c r="E47" i="4"/>
  <c r="E46" i="4"/>
  <c r="E45" i="4"/>
  <c r="E44" i="4"/>
  <c r="E43" i="4"/>
  <c r="E42" i="4"/>
  <c r="E41" i="4"/>
  <c r="E40" i="4"/>
  <c r="E39" i="4"/>
  <c r="E38" i="4"/>
  <c r="E37" i="4"/>
  <c r="E36" i="4"/>
  <c r="E35" i="4"/>
  <c r="E34" i="4"/>
  <c r="E33" i="4"/>
  <c r="E32" i="4"/>
  <c r="E31" i="4"/>
  <c r="E30" i="4"/>
  <c r="E29" i="4"/>
  <c r="E28" i="4"/>
  <c r="E27" i="4"/>
  <c r="E26" i="4"/>
  <c r="E25" i="4"/>
  <c r="E24" i="4"/>
  <c r="E20" i="4"/>
  <c r="E19" i="4"/>
  <c r="E18" i="4"/>
  <c r="E17" i="4"/>
  <c r="E16" i="4"/>
  <c r="E15" i="4"/>
  <c r="E14" i="4"/>
  <c r="E13" i="4"/>
  <c r="E12" i="4"/>
  <c r="E11" i="4"/>
  <c r="E10" i="4"/>
  <c r="E9" i="4"/>
  <c r="E8" i="4"/>
  <c r="E7" i="4"/>
  <c r="E6" i="4"/>
  <c r="E5" i="4"/>
  <c r="E4" i="4"/>
  <c r="E3" i="4"/>
  <c r="E2" i="4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2" i="3"/>
  <c r="E31" i="3"/>
  <c r="E110" i="2"/>
  <c r="E109" i="2"/>
  <c r="E108" i="2"/>
  <c r="E107" i="2"/>
  <c r="E106" i="2"/>
  <c r="E105" i="2"/>
  <c r="E104" i="2"/>
  <c r="E103" i="2"/>
  <c r="E102" i="2"/>
  <c r="E101" i="2"/>
  <c r="E100" i="2"/>
  <c r="E99" i="2"/>
  <c r="E98" i="2"/>
  <c r="E97" i="2"/>
  <c r="E96" i="2"/>
  <c r="E95" i="2"/>
  <c r="E94" i="2"/>
  <c r="E93" i="2"/>
  <c r="E92" i="2"/>
  <c r="E91" i="2"/>
  <c r="E90" i="2"/>
  <c r="E89" i="2"/>
  <c r="E88" i="2"/>
  <c r="E87" i="2"/>
  <c r="E86" i="2"/>
  <c r="E85" i="2"/>
  <c r="E84" i="2"/>
  <c r="E83" i="2"/>
  <c r="E82" i="2"/>
  <c r="E81" i="2"/>
  <c r="E80" i="2"/>
  <c r="E79" i="2"/>
  <c r="E78" i="2"/>
  <c r="E77" i="2"/>
  <c r="E76" i="2"/>
  <c r="E75" i="2"/>
  <c r="E74" i="2"/>
  <c r="E73" i="2"/>
  <c r="E72" i="2"/>
  <c r="E71" i="2"/>
  <c r="E70" i="2"/>
  <c r="E69" i="2"/>
  <c r="E68" i="2"/>
  <c r="E67" i="2"/>
  <c r="E66" i="2"/>
  <c r="E65" i="2"/>
  <c r="E64" i="2"/>
  <c r="E63" i="2"/>
  <c r="E62" i="2"/>
  <c r="E61" i="2"/>
  <c r="E60" i="2"/>
  <c r="E59" i="2"/>
  <c r="E58" i="2"/>
  <c r="E57" i="2"/>
  <c r="E56" i="2"/>
  <c r="E55" i="2"/>
  <c r="E54" i="2"/>
  <c r="E53" i="2"/>
  <c r="E52" i="2"/>
  <c r="E51" i="2"/>
  <c r="E50" i="2"/>
  <c r="E49" i="2"/>
  <c r="E48" i="2"/>
  <c r="E47" i="2"/>
  <c r="E46" i="2"/>
  <c r="E45" i="2"/>
  <c r="E44" i="2"/>
  <c r="E43" i="2"/>
  <c r="E42" i="2"/>
  <c r="E41" i="2"/>
  <c r="E40" i="2"/>
  <c r="E39" i="2"/>
  <c r="E38" i="2"/>
  <c r="E37" i="2"/>
  <c r="E36" i="2"/>
  <c r="E35" i="2"/>
  <c r="E34" i="2"/>
  <c r="E33" i="2"/>
  <c r="E32" i="2"/>
  <c r="E31" i="2"/>
  <c r="E30" i="2"/>
  <c r="E29" i="2"/>
  <c r="E28" i="2"/>
  <c r="E27" i="2"/>
  <c r="E26" i="2"/>
  <c r="E25" i="2"/>
  <c r="E24" i="2"/>
  <c r="E23" i="2"/>
  <c r="E22" i="2"/>
  <c r="E21" i="2"/>
  <c r="E20" i="2"/>
  <c r="E19" i="2"/>
  <c r="E15" i="2"/>
  <c r="E14" i="2"/>
  <c r="E13" i="2"/>
  <c r="E12" i="2"/>
  <c r="E11" i="2"/>
  <c r="E10" i="2"/>
  <c r="E9" i="2"/>
  <c r="E8" i="2"/>
  <c r="E7" i="2"/>
  <c r="E6" i="2"/>
  <c r="E5" i="2"/>
  <c r="E4" i="2"/>
  <c r="E3" i="2"/>
  <c r="E2" i="2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</calcChain>
</file>

<file path=xl/sharedStrings.xml><?xml version="1.0" encoding="utf-8"?>
<sst xmlns="http://schemas.openxmlformats.org/spreadsheetml/2006/main" count="1330" uniqueCount="378">
  <si>
    <t>ردیف</t>
  </si>
  <si>
    <t xml:space="preserve">نام </t>
  </si>
  <si>
    <t>نام خانوادگی</t>
  </si>
  <si>
    <t>کد ملی</t>
  </si>
  <si>
    <t>نام پدر</t>
  </si>
  <si>
    <t>تلفن همراه</t>
  </si>
  <si>
    <t>تاریخ تولد</t>
  </si>
  <si>
    <t>استان</t>
  </si>
  <si>
    <t>بخش</t>
  </si>
  <si>
    <t>نام مدرسه</t>
  </si>
  <si>
    <t>مقطع</t>
  </si>
  <si>
    <t>پایه</t>
  </si>
  <si>
    <t>رشته</t>
  </si>
  <si>
    <t>کلاس</t>
  </si>
  <si>
    <t>جنسیت</t>
  </si>
  <si>
    <t>شماره تماس منزل</t>
  </si>
  <si>
    <t>سال تحصیلی</t>
  </si>
  <si>
    <t>آخرین معدل</t>
  </si>
  <si>
    <t>آدرس</t>
  </si>
  <si>
    <t>تلفن همراه پدر</t>
  </si>
  <si>
    <t>تلفن همراه مادر</t>
  </si>
  <si>
    <t>سجاد</t>
  </si>
  <si>
    <t>علي</t>
  </si>
  <si>
    <t>جمشيدزهي</t>
  </si>
  <si>
    <t>حسين زهي زماني</t>
  </si>
  <si>
    <t>محمدرضا</t>
  </si>
  <si>
    <t>ريگي</t>
  </si>
  <si>
    <t>ريگي كوته</t>
  </si>
  <si>
    <t>عبدالقادر</t>
  </si>
  <si>
    <t>شه نوازي</t>
  </si>
  <si>
    <t>مهديار</t>
  </si>
  <si>
    <t>شهنوازي</t>
  </si>
  <si>
    <t>امين</t>
  </si>
  <si>
    <t>يوسف</t>
  </si>
  <si>
    <t>كرد</t>
  </si>
  <si>
    <t>احمد</t>
  </si>
  <si>
    <t>كردروپس</t>
  </si>
  <si>
    <t>اميرحسين</t>
  </si>
  <si>
    <t>محمودزهي</t>
  </si>
  <si>
    <t>ميربلوچ</t>
  </si>
  <si>
    <t>محمد</t>
  </si>
  <si>
    <t>ميربلوچ زهي</t>
  </si>
  <si>
    <t>مهدي</t>
  </si>
  <si>
    <t>ياسين</t>
  </si>
  <si>
    <t>حسان</t>
  </si>
  <si>
    <t>احمدزهي</t>
  </si>
  <si>
    <t>یازدهم</t>
  </si>
  <si>
    <t>اويس</t>
  </si>
  <si>
    <t>اسمعيل زهي گلوگا</t>
  </si>
  <si>
    <t>اميرمحمد</t>
  </si>
  <si>
    <t>ايرندگاني</t>
  </si>
  <si>
    <t>بامري</t>
  </si>
  <si>
    <t>احسان</t>
  </si>
  <si>
    <t>ترشابي</t>
  </si>
  <si>
    <t>مجتبي</t>
  </si>
  <si>
    <t>جمشيدپور</t>
  </si>
  <si>
    <t>آصف</t>
  </si>
  <si>
    <t>محمدحسام</t>
  </si>
  <si>
    <t>جمشيدنيا</t>
  </si>
  <si>
    <t>معراج</t>
  </si>
  <si>
    <t>جمشيرزائي</t>
  </si>
  <si>
    <t>خاشي</t>
  </si>
  <si>
    <t>مرتضي</t>
  </si>
  <si>
    <t>راستگارريگي</t>
  </si>
  <si>
    <t>زبير</t>
  </si>
  <si>
    <t>راشه ريگي</t>
  </si>
  <si>
    <t>سميع</t>
  </si>
  <si>
    <t>رحمت زهي</t>
  </si>
  <si>
    <t>رسول خاني</t>
  </si>
  <si>
    <t>انس</t>
  </si>
  <si>
    <t>فرشيد</t>
  </si>
  <si>
    <t>شعيب</t>
  </si>
  <si>
    <t>ريگي مطلق</t>
  </si>
  <si>
    <t>اقبال</t>
  </si>
  <si>
    <t>اسحاق</t>
  </si>
  <si>
    <t>قلندرزهي لاله آبادي</t>
  </si>
  <si>
    <t>بنيامين</t>
  </si>
  <si>
    <t>الياس</t>
  </si>
  <si>
    <t>كردسنگاني</t>
  </si>
  <si>
    <t>مبين</t>
  </si>
  <si>
    <t>يارمحمدزهي گرنچي</t>
  </si>
  <si>
    <t>عادل</t>
  </si>
  <si>
    <t>يارمحمدي</t>
  </si>
  <si>
    <t>ادبیات علوم انسانی</t>
  </si>
  <si>
    <t>امام خمینی(ره)</t>
  </si>
  <si>
    <t>متوسطه دوم</t>
  </si>
  <si>
    <t>سیستان و بلوچستان</t>
  </si>
  <si>
    <t>خاش</t>
  </si>
  <si>
    <t>پسرانه</t>
  </si>
  <si>
    <t>1404-1405</t>
  </si>
  <si>
    <t>امان الله</t>
  </si>
  <si>
    <t>غلام امين</t>
  </si>
  <si>
    <t>سليمان</t>
  </si>
  <si>
    <t>محمدانور</t>
  </si>
  <si>
    <t>فيض محمد</t>
  </si>
  <si>
    <t>يارمحمد</t>
  </si>
  <si>
    <t>خيرمحمد</t>
  </si>
  <si>
    <t>عبدالناصر</t>
  </si>
  <si>
    <t>محمديوسف</t>
  </si>
  <si>
    <t>رضا</t>
  </si>
  <si>
    <t>عبدالغفور</t>
  </si>
  <si>
    <t>سيداحمد</t>
  </si>
  <si>
    <t>محمداكبر</t>
  </si>
  <si>
    <t>عبدالصديق</t>
  </si>
  <si>
    <t>ارض محمد</t>
  </si>
  <si>
    <t>نبي بخش</t>
  </si>
  <si>
    <t>عبدالنظام</t>
  </si>
  <si>
    <t>عبدالملك</t>
  </si>
  <si>
    <t>عبدالحسين</t>
  </si>
  <si>
    <t>بجار</t>
  </si>
  <si>
    <t>عبدالحميد</t>
  </si>
  <si>
    <t>عبدالرشيد</t>
  </si>
  <si>
    <t>يحيي</t>
  </si>
  <si>
    <t>عبدالله</t>
  </si>
  <si>
    <t>عبدالمجيد</t>
  </si>
  <si>
    <t>حمل</t>
  </si>
  <si>
    <t>صاداله</t>
  </si>
  <si>
    <t>جوانشير</t>
  </si>
  <si>
    <t>ادهم</t>
  </si>
  <si>
    <t>پرويز</t>
  </si>
  <si>
    <t>اميرحمزه</t>
  </si>
  <si>
    <t>آرمين</t>
  </si>
  <si>
    <t>عرفان</t>
  </si>
  <si>
    <t>اسماعيل</t>
  </si>
  <si>
    <t>مصيب</t>
  </si>
  <si>
    <t>يونس</t>
  </si>
  <si>
    <t>فيصل</t>
  </si>
  <si>
    <t>بصير</t>
  </si>
  <si>
    <t>اميرارسلان</t>
  </si>
  <si>
    <t>آرمش</t>
  </si>
  <si>
    <t>قلندرزهي</t>
  </si>
  <si>
    <t>مزارزهي</t>
  </si>
  <si>
    <t>ياراحمدزهي</t>
  </si>
  <si>
    <t>محمدنبي</t>
  </si>
  <si>
    <t>خدامراد</t>
  </si>
  <si>
    <t>عبدالوحيد</t>
  </si>
  <si>
    <t>عبداله</t>
  </si>
  <si>
    <t>محمود</t>
  </si>
  <si>
    <t>ابراهيم</t>
  </si>
  <si>
    <t>مندوست</t>
  </si>
  <si>
    <t>نقيب</t>
  </si>
  <si>
    <t>دوست محمد</t>
  </si>
  <si>
    <t>خسرو</t>
  </si>
  <si>
    <t>محمدامين</t>
  </si>
  <si>
    <t>عبدالكريم</t>
  </si>
  <si>
    <t>محمدسجاد</t>
  </si>
  <si>
    <t>راشد</t>
  </si>
  <si>
    <t>عزير</t>
  </si>
  <si>
    <t>جنيد</t>
  </si>
  <si>
    <t>ارسلان</t>
  </si>
  <si>
    <t>فرهاد</t>
  </si>
  <si>
    <t>رحمت الله</t>
  </si>
  <si>
    <t>مدثر</t>
  </si>
  <si>
    <t>حميدرضا</t>
  </si>
  <si>
    <t>جبار</t>
  </si>
  <si>
    <t>ثناءالله</t>
  </si>
  <si>
    <t>محمدعمر</t>
  </si>
  <si>
    <t>هادي</t>
  </si>
  <si>
    <t>سعد</t>
  </si>
  <si>
    <t>سحاب</t>
  </si>
  <si>
    <t>اورنگ پور</t>
  </si>
  <si>
    <t>بامریان</t>
  </si>
  <si>
    <t>رحمتي نژاد</t>
  </si>
  <si>
    <t>رخشاني راد</t>
  </si>
  <si>
    <t>شه ولي بر</t>
  </si>
  <si>
    <t>كردي كوشه</t>
  </si>
  <si>
    <t>هاشمزهي</t>
  </si>
  <si>
    <t>یاراحمدزهی</t>
  </si>
  <si>
    <t>نورمحمد</t>
  </si>
  <si>
    <t>نظرمحمد</t>
  </si>
  <si>
    <t>حسين</t>
  </si>
  <si>
    <t>رشيد</t>
  </si>
  <si>
    <t>عبدالرحمن</t>
  </si>
  <si>
    <t>هوشنگ</t>
  </si>
  <si>
    <t>امان اله</t>
  </si>
  <si>
    <t>خدارحم</t>
  </si>
  <si>
    <t>عبدالصمد</t>
  </si>
  <si>
    <t>اله بخش</t>
  </si>
  <si>
    <t>نيك بخت</t>
  </si>
  <si>
    <t>رحمت اله</t>
  </si>
  <si>
    <t>غلام نبي</t>
  </si>
  <si>
    <t>سيدمحمد</t>
  </si>
  <si>
    <t>حبيب</t>
  </si>
  <si>
    <t>خداداد</t>
  </si>
  <si>
    <t>قادربخش</t>
  </si>
  <si>
    <t>عبدالخالد</t>
  </si>
  <si>
    <t>ايليا</t>
  </si>
  <si>
    <t>افشين</t>
  </si>
  <si>
    <t>خليل</t>
  </si>
  <si>
    <t>حسن</t>
  </si>
  <si>
    <t>اميد</t>
  </si>
  <si>
    <t>محمدطاها</t>
  </si>
  <si>
    <t>بلال</t>
  </si>
  <si>
    <t>محمدعثمان</t>
  </si>
  <si>
    <t>مسعود</t>
  </si>
  <si>
    <t>امير</t>
  </si>
  <si>
    <t>اميرطاها</t>
  </si>
  <si>
    <t>آذرنوش</t>
  </si>
  <si>
    <t>بلوچ زهي</t>
  </si>
  <si>
    <t>چمن زارريگي</t>
  </si>
  <si>
    <t>شه كرمزهي</t>
  </si>
  <si>
    <t>عيدوزهي</t>
  </si>
  <si>
    <t>كرمزهي</t>
  </si>
  <si>
    <t>كريمي</t>
  </si>
  <si>
    <t>گمشادزهي</t>
  </si>
  <si>
    <t>هرمزي عارف</t>
  </si>
  <si>
    <t>يارمحمدزهي</t>
  </si>
  <si>
    <t>يارمحمدي گرنچي</t>
  </si>
  <si>
    <t>عبدالغني</t>
  </si>
  <si>
    <t>عبدالعزيز</t>
  </si>
  <si>
    <t>ذكريا</t>
  </si>
  <si>
    <t>عبدالنبي</t>
  </si>
  <si>
    <t>كاظم</t>
  </si>
  <si>
    <t>سعيد</t>
  </si>
  <si>
    <t>خدابخش</t>
  </si>
  <si>
    <t>محمدعلي</t>
  </si>
  <si>
    <t>حمزه</t>
  </si>
  <si>
    <t>پسند</t>
  </si>
  <si>
    <t>صالح محمد</t>
  </si>
  <si>
    <t>عبدالعلي</t>
  </si>
  <si>
    <t>اله رسان</t>
  </si>
  <si>
    <t>عليرضا</t>
  </si>
  <si>
    <t>كريم</t>
  </si>
  <si>
    <t>09034895262</t>
  </si>
  <si>
    <t>09915263978</t>
  </si>
  <si>
    <t>09212357078</t>
  </si>
  <si>
    <t>09937323033</t>
  </si>
  <si>
    <t>خیابان سرباز امام رضا 12</t>
  </si>
  <si>
    <t>09155492778</t>
  </si>
  <si>
    <t>1نتهای خیابان رودکی نبوت14</t>
  </si>
  <si>
    <t>خیابان کشاورز2</t>
  </si>
  <si>
    <t>09961663725</t>
  </si>
  <si>
    <t>خیابان امام جعفر36</t>
  </si>
  <si>
    <t>09913244603</t>
  </si>
  <si>
    <t>خیابان انقلاب34</t>
  </si>
  <si>
    <t>09905429871</t>
  </si>
  <si>
    <t>خیابان مسافر14</t>
  </si>
  <si>
    <t>09150228734</t>
  </si>
  <si>
    <t>پشتکوه روستای کریم آباد</t>
  </si>
  <si>
    <t>09030750392</t>
  </si>
  <si>
    <t>خیابان فردوسی 3</t>
  </si>
  <si>
    <t>09030329971</t>
  </si>
  <si>
    <t>روستای ایرندگان</t>
  </si>
  <si>
    <t>09300675013</t>
  </si>
  <si>
    <t>خیابان مکی24</t>
  </si>
  <si>
    <t>09152744607</t>
  </si>
  <si>
    <t>روستای ترشاب</t>
  </si>
  <si>
    <t>09962268669</t>
  </si>
  <si>
    <t>خاش روستای پشتکوه</t>
  </si>
  <si>
    <t>09919942156</t>
  </si>
  <si>
    <t>خاش خیابان عبدالستار15</t>
  </si>
  <si>
    <t>09934289256</t>
  </si>
  <si>
    <t>روستای گرنچن اسلام آباد</t>
  </si>
  <si>
    <t>09306536811</t>
  </si>
  <si>
    <t>09940171883</t>
  </si>
  <si>
    <t>خاش روستای نصرت آباد</t>
  </si>
  <si>
    <t>09159402589</t>
  </si>
  <si>
    <t>خیابان سعدی7</t>
  </si>
  <si>
    <t>09915724594</t>
  </si>
  <si>
    <t>خیابا سرباز21</t>
  </si>
  <si>
    <t>روستای نصرت آباد</t>
  </si>
  <si>
    <t>09914020927</t>
  </si>
  <si>
    <t>خیابان هاشم زهی12</t>
  </si>
  <si>
    <t>09019380152</t>
  </si>
  <si>
    <t>روستای دشت آبخوان</t>
  </si>
  <si>
    <t>09156055671</t>
  </si>
  <si>
    <t>09903275623</t>
  </si>
  <si>
    <t>09935283250</t>
  </si>
  <si>
    <t>09159682920</t>
  </si>
  <si>
    <t>09963116187</t>
  </si>
  <si>
    <t>09027651288</t>
  </si>
  <si>
    <t>09931509360</t>
  </si>
  <si>
    <t>09032004874</t>
  </si>
  <si>
    <t>09012543852</t>
  </si>
  <si>
    <t>09157815697</t>
  </si>
  <si>
    <t>09159419853</t>
  </si>
  <si>
    <t>09156372971</t>
  </si>
  <si>
    <t>09928965153</t>
  </si>
  <si>
    <t>09157296138</t>
  </si>
  <si>
    <t>خیابان سعدی 3</t>
  </si>
  <si>
    <t>خیابان مکی23</t>
  </si>
  <si>
    <t>روستای دشت رباط</t>
  </si>
  <si>
    <t>خیابان امام جعفر24</t>
  </si>
  <si>
    <t>خیابان امام رضا23</t>
  </si>
  <si>
    <t>ناصر آباد</t>
  </si>
  <si>
    <t>روستای پشتکوه</t>
  </si>
  <si>
    <t>روستای محمد آباد</t>
  </si>
  <si>
    <t>خیابان سعد25</t>
  </si>
  <si>
    <t>خیابان سرباز26</t>
  </si>
  <si>
    <t>خیابان سعدی19</t>
  </si>
  <si>
    <t>09910821215</t>
  </si>
  <si>
    <t>09903407922</t>
  </si>
  <si>
    <t>روستای ناصرآباد</t>
  </si>
  <si>
    <t>09397497871</t>
  </si>
  <si>
    <t>09389340549</t>
  </si>
  <si>
    <t>خیابان هفتاد متری کوچه امام صادق</t>
  </si>
  <si>
    <t>خیابان سرباز35</t>
  </si>
  <si>
    <t>09158462906</t>
  </si>
  <si>
    <t>09152553187</t>
  </si>
  <si>
    <t>خیابان ایرندگان 3</t>
  </si>
  <si>
    <t>09370760293</t>
  </si>
  <si>
    <t>09366939743</t>
  </si>
  <si>
    <t>09927432913</t>
  </si>
  <si>
    <t>09938264765</t>
  </si>
  <si>
    <t>خاش روستای گرنچن</t>
  </si>
  <si>
    <t>خیابان لکزایی12</t>
  </si>
  <si>
    <t>خیابان سرباز33</t>
  </si>
  <si>
    <t>09386622239</t>
  </si>
  <si>
    <t>09918422932</t>
  </si>
  <si>
    <t>09935764998</t>
  </si>
  <si>
    <t>09966812454</t>
  </si>
  <si>
    <t>09384960622</t>
  </si>
  <si>
    <t>09908518337</t>
  </si>
  <si>
    <t>09330629795</t>
  </si>
  <si>
    <t>09927705322</t>
  </si>
  <si>
    <t>09903928965</t>
  </si>
  <si>
    <t>09354953198</t>
  </si>
  <si>
    <t>09307204503</t>
  </si>
  <si>
    <t>09963170609</t>
  </si>
  <si>
    <t>09933952369</t>
  </si>
  <si>
    <t>09917360308</t>
  </si>
  <si>
    <t>09966408515</t>
  </si>
  <si>
    <t>09940128682</t>
  </si>
  <si>
    <t>09025562951</t>
  </si>
  <si>
    <t>09932082242</t>
  </si>
  <si>
    <t>09156776731</t>
  </si>
  <si>
    <t>انتهای خیابان رودکی1</t>
  </si>
  <si>
    <t>خیابان سرباز 24</t>
  </si>
  <si>
    <t>خیابان مکی25</t>
  </si>
  <si>
    <t>روستای گرنچن روستای حاجی قادر بخش</t>
  </si>
  <si>
    <t>فلکه حیدر آباد</t>
  </si>
  <si>
    <t>روستای اسلام آباد</t>
  </si>
  <si>
    <t>روستای ترشاب سیه جنگل</t>
  </si>
  <si>
    <t xml:space="preserve">روستای نرون </t>
  </si>
  <si>
    <t>خیابان سعدی 12</t>
  </si>
  <si>
    <t>خیابان سعدی 16</t>
  </si>
  <si>
    <t>روستای بیلری</t>
  </si>
  <si>
    <t>روستای مهران</t>
  </si>
  <si>
    <t>خیابان مولوی17</t>
  </si>
  <si>
    <t>09941500254</t>
  </si>
  <si>
    <t>خیابان سرباز27</t>
  </si>
  <si>
    <t>خیابان عبدالستار12</t>
  </si>
  <si>
    <t>خیابان مکی12</t>
  </si>
  <si>
    <t>خیابان یادگار13</t>
  </si>
  <si>
    <t>خیابان مولوی14</t>
  </si>
  <si>
    <t>خیابان عطار 2</t>
  </si>
  <si>
    <t>خیابان رودکی 13</t>
  </si>
  <si>
    <t>بلوار هاشم زهی 14</t>
  </si>
  <si>
    <t>انقلاب 25</t>
  </si>
  <si>
    <t>امام خمینی 26</t>
  </si>
  <si>
    <t>روستای اسلا م آباد</t>
  </si>
  <si>
    <t>روستای چهزار</t>
  </si>
  <si>
    <t>ناصرآباد مکی 12</t>
  </si>
  <si>
    <t>فلکه محمد آباد 3</t>
  </si>
  <si>
    <t>ابتدای جاده خاش-میرجاوه</t>
  </si>
  <si>
    <t>خیابان فردوسی 15</t>
  </si>
  <si>
    <t>خیابان سرباز 15</t>
  </si>
  <si>
    <t>خیابان انقلاب 26</t>
  </si>
  <si>
    <t>خیابان کارواندر4</t>
  </si>
  <si>
    <t>خیابان یادگار 15</t>
  </si>
  <si>
    <t>خیابان جمهوری 12</t>
  </si>
  <si>
    <t>خیابان حافظ 6</t>
  </si>
  <si>
    <t>خیابان خیام 8</t>
  </si>
  <si>
    <t>خیابان سعدی48</t>
  </si>
  <si>
    <t>خیابان مولوی18</t>
  </si>
  <si>
    <t>خیابان عبدالستار23</t>
  </si>
  <si>
    <t>خیابان مکی21</t>
  </si>
  <si>
    <t>خیابان یادگار10</t>
  </si>
  <si>
    <t>خیابان ایرندگان3</t>
  </si>
  <si>
    <t>خیابان کارواندر10</t>
  </si>
  <si>
    <t>خیابان سعدی34</t>
  </si>
  <si>
    <t>09158371208</t>
  </si>
  <si>
    <t>دهقان</t>
  </si>
  <si>
    <t>ابوالفضل</t>
  </si>
  <si>
    <t>جلال</t>
  </si>
  <si>
    <t>خیابان سعدی43</t>
  </si>
  <si>
    <t>09159917017</t>
  </si>
  <si>
    <t>1388/05/12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</si>
</sst>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Arial"/>
      <family val="2"/>
      <scheme val="minor"/>
    </font>
    <font>
      <b/>
      <sz val="12"/>
      <color theme="0"/>
      <name val="B Nazanin"/>
      <charset val="178"/>
    </font>
    <font>
      <sz val="11"/>
      <color rgb="FFFFFFFF"/>
      <name val="Arabic Typesetting"/>
      <family val="4"/>
    </font>
    <font>
      <sz val="11"/>
      <color rgb="FF333333"/>
      <name val="Arabic Typesetting"/>
      <family val="4"/>
    </font>
    <font>
      <sz val="12"/>
      <color rgb="FFFFFFFF"/>
      <name val="Arabic Typesetting"/>
      <family val="4"/>
    </font>
    <font>
      <sz val="12"/>
      <color rgb="FF333333"/>
      <name val="Arabic Typesetting"/>
      <family val="4"/>
    </font>
    <font>
      <sz val="14"/>
      <color rgb="FFFFFFFF"/>
      <name val="Arabic Typesetting"/>
      <family val="4"/>
    </font>
    <font>
      <sz val="14"/>
      <color rgb="FF333333"/>
      <name val="Arabic Typesetting"/>
      <family val="4"/>
    </font>
    <font>
      <sz val="12"/>
      <color theme="1"/>
      <name val="Arabic Typesetting"/>
      <family val="4"/>
    </font>
    <font>
      <b/>
      <sz val="12"/>
      <color theme="0"/>
      <name val="Arabic Typesetting"/>
      <family val="4"/>
    </font>
    <font>
      <sz val="11"/>
      <color theme="1"/>
      <name val="Arabic Typesetting"/>
      <family val="4"/>
    </font>
    <font>
      <sz val="14"/>
      <color theme="1"/>
      <name val="Arabic Typesetting"/>
      <family val="4"/>
    </font>
  </fonts>
  <fills count="9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428BCA"/>
        <bgColor indexed="64"/>
      </patternFill>
    </fill>
    <fill>
      <patternFill patternType="solid">
        <fgColor rgb="FF3379B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EBEBEB"/>
        <bgColor indexed="64"/>
      </patternFill>
    </fill>
  </fills>
  <borders count="5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3" borderId="2" xfId="0" applyFill="1" applyBorder="1"/>
    <xf numFmtId="49" fontId="0" fillId="3" borderId="2" xfId="0" applyNumberFormat="1" applyFill="1" applyBorder="1"/>
    <xf numFmtId="0" fontId="0" fillId="3" borderId="3" xfId="0" applyFill="1" applyBorder="1"/>
    <xf numFmtId="0" fontId="0" fillId="0" borderId="2" xfId="0" applyBorder="1"/>
    <xf numFmtId="49" fontId="0" fillId="0" borderId="2" xfId="0" applyNumberFormat="1" applyBorder="1"/>
    <xf numFmtId="0" fontId="0" fillId="0" borderId="3" xfId="0" applyBorder="1"/>
    <xf numFmtId="49" fontId="0" fillId="0" borderId="0" xfId="0" applyNumberFormat="1"/>
    <xf numFmtId="0" fontId="0" fillId="3" borderId="2" xfId="0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49" fontId="1" fillId="2" borderId="2" xfId="0" applyNumberFormat="1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0" fillId="0" borderId="2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5" borderId="4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6" borderId="4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0" fontId="3" fillId="8" borderId="4" xfId="0" applyFont="1" applyFill="1" applyBorder="1" applyAlignment="1">
      <alignment horizontal="center" vertical="center" wrapText="1"/>
    </xf>
    <xf numFmtId="0" fontId="4" fillId="5" borderId="4" xfId="0" applyFont="1" applyFill="1" applyBorder="1" applyAlignment="1">
      <alignment horizontal="center" vertical="center" wrapText="1"/>
    </xf>
    <xf numFmtId="0" fontId="5" fillId="7" borderId="4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4" borderId="4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7" fillId="7" borderId="4" xfId="0" applyFont="1" applyFill="1" applyBorder="1" applyAlignment="1">
      <alignment horizontal="center" vertical="center" wrapText="1"/>
    </xf>
    <xf numFmtId="0" fontId="7" fillId="6" borderId="4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7" fillId="8" borderId="4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/>
    </xf>
    <xf numFmtId="0" fontId="8" fillId="3" borderId="2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49" fontId="8" fillId="0" borderId="2" xfId="0" applyNumberFormat="1" applyFont="1" applyBorder="1" applyAlignment="1">
      <alignment horizontal="center"/>
    </xf>
    <xf numFmtId="0" fontId="8" fillId="3" borderId="1" xfId="0" applyFont="1" applyFill="1" applyBorder="1" applyAlignment="1">
      <alignment horizontal="center" vertical="center"/>
    </xf>
    <xf numFmtId="49" fontId="8" fillId="3" borderId="2" xfId="0" applyNumberFormat="1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/>
    </xf>
    <xf numFmtId="0" fontId="9" fillId="2" borderId="2" xfId="0" applyFont="1" applyFill="1" applyBorder="1" applyAlignment="1">
      <alignment horizontal="center" vertical="center"/>
    </xf>
    <xf numFmtId="49" fontId="9" fillId="2" borderId="2" xfId="0" applyNumberFormat="1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10" fillId="0" borderId="0" xfId="0" applyFont="1"/>
    <xf numFmtId="0" fontId="10" fillId="3" borderId="1" xfId="0" applyFont="1" applyFill="1" applyBorder="1" applyAlignment="1">
      <alignment horizontal="center" vertical="center"/>
    </xf>
    <xf numFmtId="0" fontId="10" fillId="3" borderId="2" xfId="0" applyFont="1" applyFill="1" applyBorder="1"/>
    <xf numFmtId="0" fontId="10" fillId="3" borderId="3" xfId="0" applyFont="1" applyFill="1" applyBorder="1"/>
    <xf numFmtId="0" fontId="10" fillId="0" borderId="2" xfId="0" applyFont="1" applyBorder="1"/>
    <xf numFmtId="0" fontId="10" fillId="0" borderId="3" xfId="0" applyFont="1" applyBorder="1"/>
    <xf numFmtId="0" fontId="10" fillId="0" borderId="0" xfId="0" applyFont="1" applyAlignment="1">
      <alignment horizontal="center"/>
    </xf>
    <xf numFmtId="0" fontId="10" fillId="3" borderId="2" xfId="0" applyFont="1" applyFill="1" applyBorder="1" applyAlignment="1">
      <alignment horizontal="center" vertical="center"/>
    </xf>
    <xf numFmtId="49" fontId="10" fillId="3" borderId="2" xfId="0" applyNumberFormat="1" applyFont="1" applyFill="1" applyBorder="1" applyAlignment="1">
      <alignment horizontal="center"/>
    </xf>
    <xf numFmtId="0" fontId="10" fillId="0" borderId="1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/>
    </xf>
    <xf numFmtId="49" fontId="10" fillId="3" borderId="2" xfId="0" applyNumberFormat="1" applyFont="1" applyFill="1" applyBorder="1"/>
    <xf numFmtId="49" fontId="10" fillId="0" borderId="2" xfId="0" applyNumberFormat="1" applyFont="1" applyBorder="1"/>
    <xf numFmtId="0" fontId="8" fillId="3" borderId="2" xfId="0" applyFont="1" applyFill="1" applyBorder="1"/>
    <xf numFmtId="0" fontId="8" fillId="0" borderId="0" xfId="0" applyFont="1"/>
    <xf numFmtId="0" fontId="11" fillId="3" borderId="2" xfId="0" applyFont="1" applyFill="1" applyBorder="1"/>
    <xf numFmtId="49" fontId="0" fillId="3" borderId="2" xfId="0" applyNumberFormat="1" applyFill="1" applyBorder="1" applyAlignment="1">
      <alignment horizontal="center"/>
    </xf>
    <xf numFmtId="49" fontId="8" fillId="3" borderId="2" xfId="0" applyNumberFormat="1" applyFont="1" applyFill="1" applyBorder="1" applyAlignment="1">
      <alignment horizontal="right"/>
    </xf>
    <xf numFmtId="0" fontId="0" fillId="3" borderId="2" xfId="0" applyFill="1" applyBorder="1" applyAlignment="1">
      <alignment horizontal="right"/>
    </xf>
    <xf numFmtId="0" fontId="0" fillId="0" borderId="2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10"/>
  <sheetViews>
    <sheetView rightToLeft="1" tabSelected="1" workbookViewId="0">
      <pane ySplit="1" topLeftCell="A2" activePane="bottomLeft" state="frozen"/>
      <selection pane="bottomLeft" activeCell="T35" sqref="T35"/>
    </sheetView>
  </sheetViews>
  <sheetFormatPr defaultRowHeight="13.5" x14ac:dyDescent="0.35"/>
  <cols>
    <col min="2" max="2" width="11.125" customWidth="1"/>
    <col min="3" max="3" width="16" customWidth="1"/>
    <col min="4" max="4" width="14.6875" style="7" customWidth="1"/>
    <col min="5" max="5" width="8.875" style="9"/>
    <col min="6" max="6" width="12.6875" customWidth="1"/>
    <col min="7" max="7" width="14.4375" style="17" customWidth="1"/>
    <col min="8" max="8" width="15.875" customWidth="1"/>
    <col min="9" max="9" width="12.6875" customWidth="1"/>
    <col min="10" max="10" width="8.4375" customWidth="1"/>
    <col min="11" max="11" width="14.3125" customWidth="1"/>
    <col min="12" max="12" width="12.6875" customWidth="1"/>
    <col min="13" max="13" width="12.875" customWidth="1"/>
    <col min="14" max="14" width="15.875" customWidth="1"/>
    <col min="15" max="15" width="9" customWidth="1"/>
    <col min="16" max="16" width="7" customWidth="1"/>
    <col min="17" max="17" width="20.125" bestFit="1" customWidth="1"/>
    <col min="18" max="18" width="8.6875" customWidth="1"/>
    <col min="19" max="19" width="9.875" customWidth="1"/>
    <col min="20" max="20" width="11" customWidth="1"/>
    <col min="21" max="21" width="19.125" customWidth="1"/>
    <col min="22" max="22" width="17" customWidth="1"/>
  </cols>
  <sheetData>
    <row r="1" spans="1:22" ht="25.15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3" t="s">
        <v>20</v>
      </c>
    </row>
    <row r="2" spans="1:22" ht="20.25" x14ac:dyDescent="0.7">
      <c r="A2" s="14">
        <v>1</v>
      </c>
      <c r="B2" s="28" t="s">
        <v>44</v>
      </c>
      <c r="C2" s="18" t="s">
        <v>45</v>
      </c>
      <c r="D2" s="18">
        <v>3710856231</v>
      </c>
      <c r="E2" s="50" t="e">
        <f>'یازدهم انسانی'!E3</f>
        <v>#REF!</v>
      </c>
      <c r="F2" s="23" t="s">
        <v>92</v>
      </c>
      <c r="G2" s="51" t="s">
        <v>223</v>
      </c>
      <c r="H2" s="18">
        <v>13880216</v>
      </c>
      <c r="I2" s="45" t="s">
        <v>86</v>
      </c>
      <c r="J2" s="45" t="s">
        <v>87</v>
      </c>
      <c r="K2" s="43" t="s">
        <v>84</v>
      </c>
      <c r="L2" s="43" t="s">
        <v>85</v>
      </c>
      <c r="M2" s="45" t="s">
        <v>46</v>
      </c>
      <c r="N2" s="43" t="s">
        <v>83</v>
      </c>
      <c r="O2" s="45">
        <v>1</v>
      </c>
      <c r="P2" s="45" t="s">
        <v>88</v>
      </c>
      <c r="Q2" s="45">
        <v>5433728399</v>
      </c>
      <c r="R2" s="45" t="s">
        <v>89</v>
      </c>
      <c r="S2" s="1">
        <v>16.18</v>
      </c>
      <c r="T2" s="1" t="s">
        <v>340</v>
      </c>
      <c r="U2" s="1">
        <v>9153430211</v>
      </c>
      <c r="V2" s="1">
        <v>9153430211</v>
      </c>
    </row>
    <row r="3" spans="1:22" ht="20.25" x14ac:dyDescent="0.7">
      <c r="A3" s="15">
        <v>2</v>
      </c>
      <c r="B3" s="29" t="s">
        <v>47</v>
      </c>
      <c r="C3" s="19" t="s">
        <v>48</v>
      </c>
      <c r="D3" s="19">
        <v>3710847788</v>
      </c>
      <c r="E3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" s="24" t="s">
        <v>93</v>
      </c>
      <c r="G3" s="53" t="s">
        <v>224</v>
      </c>
      <c r="H3" s="19">
        <v>13871124</v>
      </c>
      <c r="I3" s="45" t="s">
        <v>86</v>
      </c>
      <c r="J3" s="45" t="s">
        <v>87</v>
      </c>
      <c r="K3" s="43" t="s">
        <v>84</v>
      </c>
      <c r="L3" s="43" t="s">
        <v>85</v>
      </c>
      <c r="M3" s="47" t="s">
        <v>46</v>
      </c>
      <c r="N3" s="43" t="s">
        <v>83</v>
      </c>
      <c r="O3" s="45">
        <v>1</v>
      </c>
      <c r="P3" s="45" t="s">
        <v>88</v>
      </c>
      <c r="Q3" s="45">
        <v>5433728399</v>
      </c>
      <c r="R3" s="45" t="s">
        <v>89</v>
      </c>
      <c r="S3" s="4">
        <v>14.23</v>
      </c>
      <c r="T3" s="4" t="s">
        <v>341</v>
      </c>
      <c r="U3" s="4">
        <v>9159394504</v>
      </c>
      <c r="V3" s="4">
        <v>9159394504</v>
      </c>
    </row>
    <row r="4" spans="1:22" ht="15" customHeight="1" x14ac:dyDescent="0.75">
      <c r="A4" s="37">
        <v>3</v>
      </c>
      <c r="B4" s="25" t="s">
        <v>49</v>
      </c>
      <c r="C4" s="25" t="s">
        <v>50</v>
      </c>
      <c r="D4" s="25">
        <v>3710747181</v>
      </c>
      <c r="E4" s="34" t="e">
        <f ca="1">D5IF(
 MOD(SUMPRODUCT(MID(TEXT(#REF!,"0000000000"),{1,2,3,4,5,6,7,8,9},1)*{10,9,8,7,6,5,4,3,2}),11)
 =
 IF(RIGHT(TEXT(#REF!,"0000000000"),1)&lt;2, RIGHT(TEXT(#REF!,"0000000000"),1), 11-RIGHT(TEXT(#REF!,"0000000000"),1)),
"درست","اشتباه")</f>
        <v>#NAME?</v>
      </c>
      <c r="F4" s="25" t="s">
        <v>94</v>
      </c>
      <c r="G4" s="45">
        <v>9300675013</v>
      </c>
      <c r="H4" s="25">
        <v>13851220</v>
      </c>
      <c r="I4" s="56" t="s">
        <v>86</v>
      </c>
      <c r="J4" s="56" t="s">
        <v>87</v>
      </c>
      <c r="K4" s="57" t="s">
        <v>84</v>
      </c>
      <c r="L4" s="57" t="s">
        <v>85</v>
      </c>
      <c r="M4" s="56" t="s">
        <v>46</v>
      </c>
      <c r="N4" s="57" t="s">
        <v>83</v>
      </c>
      <c r="O4" s="56">
        <v>1</v>
      </c>
      <c r="P4" s="56" t="s">
        <v>88</v>
      </c>
      <c r="Q4" s="56">
        <v>5433728399</v>
      </c>
      <c r="R4" s="56" t="s">
        <v>89</v>
      </c>
      <c r="S4" s="1">
        <v>15.05</v>
      </c>
      <c r="T4" s="1" t="s">
        <v>342</v>
      </c>
      <c r="U4" s="1">
        <v>9156816041</v>
      </c>
      <c r="V4" s="1">
        <v>9156816041</v>
      </c>
    </row>
    <row r="5" spans="1:22" ht="19.5" customHeight="1" x14ac:dyDescent="0.7">
      <c r="A5" s="15">
        <v>4</v>
      </c>
      <c r="B5" s="29" t="s">
        <v>52</v>
      </c>
      <c r="C5" s="19" t="s">
        <v>51</v>
      </c>
      <c r="D5" s="19">
        <v>3710804965</v>
      </c>
      <c r="E5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5" s="24" t="s">
        <v>95</v>
      </c>
      <c r="G5" s="47">
        <v>9395280725</v>
      </c>
      <c r="H5" s="19">
        <v>13870110</v>
      </c>
      <c r="I5" s="45" t="s">
        <v>86</v>
      </c>
      <c r="J5" s="45" t="s">
        <v>87</v>
      </c>
      <c r="K5" s="43" t="s">
        <v>84</v>
      </c>
      <c r="L5" s="43" t="s">
        <v>85</v>
      </c>
      <c r="M5" s="47" t="s">
        <v>46</v>
      </c>
      <c r="N5" s="43" t="s">
        <v>83</v>
      </c>
      <c r="O5" s="45">
        <v>1</v>
      </c>
      <c r="P5" s="45" t="s">
        <v>88</v>
      </c>
      <c r="Q5" s="45">
        <v>5433728399</v>
      </c>
      <c r="R5" s="45" t="s">
        <v>89</v>
      </c>
      <c r="S5" s="4">
        <v>13.72</v>
      </c>
      <c r="T5" s="4" t="s">
        <v>343</v>
      </c>
      <c r="U5" s="4">
        <v>9921933221</v>
      </c>
      <c r="V5" s="4">
        <v>9921933221</v>
      </c>
    </row>
    <row r="6" spans="1:22" ht="20.25" x14ac:dyDescent="0.7">
      <c r="A6" s="14">
        <v>5</v>
      </c>
      <c r="B6" s="30" t="s">
        <v>42</v>
      </c>
      <c r="C6" s="20" t="s">
        <v>51</v>
      </c>
      <c r="D6" s="20">
        <v>3710879752</v>
      </c>
      <c r="E6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6" s="25" t="s">
        <v>96</v>
      </c>
      <c r="G6" s="45">
        <v>9915217824</v>
      </c>
      <c r="H6" s="20">
        <v>13880630</v>
      </c>
      <c r="I6" s="45" t="s">
        <v>86</v>
      </c>
      <c r="J6" s="45" t="s">
        <v>87</v>
      </c>
      <c r="K6" s="43" t="s">
        <v>84</v>
      </c>
      <c r="L6" s="43" t="s">
        <v>85</v>
      </c>
      <c r="M6" s="45" t="s">
        <v>46</v>
      </c>
      <c r="N6" s="43" t="s">
        <v>83</v>
      </c>
      <c r="O6" s="45">
        <v>1</v>
      </c>
      <c r="P6" s="45" t="s">
        <v>88</v>
      </c>
      <c r="Q6" s="45">
        <v>5433728399</v>
      </c>
      <c r="R6" s="45" t="s">
        <v>89</v>
      </c>
      <c r="S6" s="1">
        <v>13.52</v>
      </c>
      <c r="T6" s="1" t="s">
        <v>344</v>
      </c>
      <c r="U6" s="1">
        <v>9999817432</v>
      </c>
      <c r="V6" s="1">
        <v>9999817432</v>
      </c>
    </row>
    <row r="7" spans="1:22" ht="20.25" x14ac:dyDescent="0.7">
      <c r="A7" s="15">
        <v>6</v>
      </c>
      <c r="B7" s="30" t="s">
        <v>40</v>
      </c>
      <c r="C7" s="20" t="s">
        <v>53</v>
      </c>
      <c r="D7" s="20">
        <v>3710863082</v>
      </c>
      <c r="E7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7" s="25" t="s">
        <v>97</v>
      </c>
      <c r="G7" s="47">
        <v>9158375942</v>
      </c>
      <c r="H7" s="20">
        <v>13880416</v>
      </c>
      <c r="I7" s="45" t="s">
        <v>86</v>
      </c>
      <c r="J7" s="45" t="s">
        <v>87</v>
      </c>
      <c r="K7" s="43" t="s">
        <v>84</v>
      </c>
      <c r="L7" s="43" t="s">
        <v>85</v>
      </c>
      <c r="M7" s="45" t="s">
        <v>46</v>
      </c>
      <c r="N7" s="43" t="s">
        <v>83</v>
      </c>
      <c r="O7" s="45">
        <v>1</v>
      </c>
      <c r="P7" s="45" t="s">
        <v>88</v>
      </c>
      <c r="Q7" s="45">
        <v>5433728399</v>
      </c>
      <c r="R7" s="45" t="s">
        <v>89</v>
      </c>
      <c r="S7" s="1">
        <v>14.19</v>
      </c>
      <c r="T7" s="1" t="s">
        <v>345</v>
      </c>
      <c r="U7" s="1">
        <v>9159394215</v>
      </c>
      <c r="V7" s="1">
        <v>9159394215</v>
      </c>
    </row>
    <row r="8" spans="1:22" ht="20.25" x14ac:dyDescent="0.7">
      <c r="A8" s="14">
        <v>7</v>
      </c>
      <c r="B8" s="29" t="s">
        <v>54</v>
      </c>
      <c r="C8" s="19" t="s">
        <v>55</v>
      </c>
      <c r="D8" s="19">
        <v>3710836298</v>
      </c>
      <c r="E8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8" s="24" t="s">
        <v>35</v>
      </c>
      <c r="G8" s="47">
        <v>9937739951</v>
      </c>
      <c r="H8" s="19">
        <v>13870830</v>
      </c>
      <c r="I8" s="45" t="s">
        <v>86</v>
      </c>
      <c r="J8" s="45" t="s">
        <v>87</v>
      </c>
      <c r="K8" s="43" t="s">
        <v>84</v>
      </c>
      <c r="L8" s="43" t="s">
        <v>85</v>
      </c>
      <c r="M8" s="47" t="s">
        <v>46</v>
      </c>
      <c r="N8" s="43" t="s">
        <v>83</v>
      </c>
      <c r="O8" s="45">
        <v>1</v>
      </c>
      <c r="P8" s="45" t="s">
        <v>88</v>
      </c>
      <c r="Q8" s="45">
        <v>5433728399</v>
      </c>
      <c r="R8" s="45" t="s">
        <v>89</v>
      </c>
      <c r="S8" s="4">
        <v>13.78</v>
      </c>
      <c r="T8" s="4" t="s">
        <v>346</v>
      </c>
      <c r="U8" s="4">
        <v>9159893383</v>
      </c>
      <c r="V8" s="4">
        <v>9159893383</v>
      </c>
    </row>
    <row r="9" spans="1:22" ht="20.25" x14ac:dyDescent="0.7">
      <c r="A9" s="15">
        <v>8</v>
      </c>
      <c r="B9" s="30" t="s">
        <v>56</v>
      </c>
      <c r="C9" s="20" t="s">
        <v>23</v>
      </c>
      <c r="D9" s="20">
        <v>3710831911</v>
      </c>
      <c r="E9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9" s="25" t="s">
        <v>98</v>
      </c>
      <c r="G9" s="45">
        <v>9922386234</v>
      </c>
      <c r="H9" s="20">
        <v>13870814</v>
      </c>
      <c r="I9" s="45" t="s">
        <v>86</v>
      </c>
      <c r="J9" s="45" t="s">
        <v>87</v>
      </c>
      <c r="K9" s="43" t="s">
        <v>84</v>
      </c>
      <c r="L9" s="43" t="s">
        <v>85</v>
      </c>
      <c r="M9" s="45" t="s">
        <v>46</v>
      </c>
      <c r="N9" s="43" t="s">
        <v>83</v>
      </c>
      <c r="O9" s="45">
        <v>1</v>
      </c>
      <c r="P9" s="45" t="s">
        <v>88</v>
      </c>
      <c r="Q9" s="45">
        <v>5433728399</v>
      </c>
      <c r="R9" s="45" t="s">
        <v>89</v>
      </c>
      <c r="S9" s="1">
        <v>15.43</v>
      </c>
      <c r="T9" s="1" t="s">
        <v>347</v>
      </c>
      <c r="U9" s="1">
        <v>9960885340</v>
      </c>
      <c r="V9" s="1">
        <v>9960885340</v>
      </c>
    </row>
    <row r="10" spans="1:22" ht="20.25" x14ac:dyDescent="0.7">
      <c r="A10" s="14">
        <v>9</v>
      </c>
      <c r="B10" s="29" t="s">
        <v>57</v>
      </c>
      <c r="C10" s="19" t="s">
        <v>58</v>
      </c>
      <c r="D10" s="19">
        <v>3710853796</v>
      </c>
      <c r="E10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0" s="24" t="s">
        <v>99</v>
      </c>
      <c r="G10" s="47">
        <v>9158406833</v>
      </c>
      <c r="H10" s="19">
        <v>13880110</v>
      </c>
      <c r="I10" s="45" t="s">
        <v>86</v>
      </c>
      <c r="J10" s="45" t="s">
        <v>87</v>
      </c>
      <c r="K10" s="43" t="s">
        <v>84</v>
      </c>
      <c r="L10" s="43" t="s">
        <v>85</v>
      </c>
      <c r="M10" s="47" t="s">
        <v>46</v>
      </c>
      <c r="N10" s="43" t="s">
        <v>83</v>
      </c>
      <c r="O10" s="45">
        <v>1</v>
      </c>
      <c r="P10" s="45" t="s">
        <v>88</v>
      </c>
      <c r="Q10" s="45">
        <v>5433728399</v>
      </c>
      <c r="R10" s="45" t="s">
        <v>89</v>
      </c>
      <c r="S10" s="4">
        <v>15.02</v>
      </c>
      <c r="T10" s="4" t="s">
        <v>348</v>
      </c>
      <c r="U10" s="4">
        <v>9153431208</v>
      </c>
      <c r="V10" s="4">
        <v>9153431208</v>
      </c>
    </row>
    <row r="11" spans="1:22" ht="20.25" x14ac:dyDescent="0.7">
      <c r="A11" s="15">
        <v>10</v>
      </c>
      <c r="B11" s="30" t="s">
        <v>59</v>
      </c>
      <c r="C11" s="20" t="s">
        <v>60</v>
      </c>
      <c r="D11" s="20">
        <v>3710856299</v>
      </c>
      <c r="E11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1" s="25" t="s">
        <v>100</v>
      </c>
      <c r="G11" s="45">
        <v>9397176099</v>
      </c>
      <c r="H11" s="20">
        <v>13880213</v>
      </c>
      <c r="I11" s="45" t="s">
        <v>86</v>
      </c>
      <c r="J11" s="45" t="s">
        <v>87</v>
      </c>
      <c r="K11" s="43" t="s">
        <v>84</v>
      </c>
      <c r="L11" s="43" t="s">
        <v>85</v>
      </c>
      <c r="M11" s="45" t="s">
        <v>46</v>
      </c>
      <c r="N11" s="43" t="s">
        <v>83</v>
      </c>
      <c r="O11" s="45">
        <v>1</v>
      </c>
      <c r="P11" s="45" t="s">
        <v>88</v>
      </c>
      <c r="Q11" s="45">
        <v>5433728399</v>
      </c>
      <c r="R11" s="45" t="s">
        <v>89</v>
      </c>
      <c r="S11" s="1">
        <v>16.43</v>
      </c>
      <c r="T11" s="1" t="s">
        <v>349</v>
      </c>
      <c r="U11" s="1">
        <v>9917390025</v>
      </c>
      <c r="V11" s="1">
        <v>9917390025</v>
      </c>
    </row>
    <row r="12" spans="1:22" ht="20.25" x14ac:dyDescent="0.7">
      <c r="A12" s="14">
        <v>11</v>
      </c>
      <c r="B12" s="29" t="s">
        <v>25</v>
      </c>
      <c r="C12" s="19" t="s">
        <v>61</v>
      </c>
      <c r="D12" s="19">
        <v>3710823137</v>
      </c>
      <c r="E12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2" s="24" t="s">
        <v>40</v>
      </c>
      <c r="G12" s="47">
        <v>91459919092</v>
      </c>
      <c r="H12" s="19">
        <v>13870606</v>
      </c>
      <c r="I12" s="45" t="s">
        <v>86</v>
      </c>
      <c r="J12" s="45" t="s">
        <v>87</v>
      </c>
      <c r="K12" s="43" t="s">
        <v>84</v>
      </c>
      <c r="L12" s="43" t="s">
        <v>85</v>
      </c>
      <c r="M12" s="47" t="s">
        <v>46</v>
      </c>
      <c r="N12" s="43" t="s">
        <v>83</v>
      </c>
      <c r="O12" s="45">
        <v>1</v>
      </c>
      <c r="P12" s="45" t="s">
        <v>88</v>
      </c>
      <c r="Q12" s="45">
        <v>5433728399</v>
      </c>
      <c r="R12" s="45" t="s">
        <v>89</v>
      </c>
      <c r="S12" s="4">
        <v>14.05</v>
      </c>
      <c r="T12" s="4" t="s">
        <v>350</v>
      </c>
      <c r="U12" s="4">
        <v>9934849824</v>
      </c>
      <c r="V12" s="4">
        <v>9934849824</v>
      </c>
    </row>
    <row r="13" spans="1:22" ht="20.25" x14ac:dyDescent="0.7">
      <c r="A13" s="15">
        <v>12</v>
      </c>
      <c r="B13" s="30" t="s">
        <v>62</v>
      </c>
      <c r="C13" s="20" t="s">
        <v>63</v>
      </c>
      <c r="D13" s="20">
        <v>6110286699</v>
      </c>
      <c r="E13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3" s="25" t="s">
        <v>101</v>
      </c>
      <c r="G13" s="45">
        <v>9153480831</v>
      </c>
      <c r="H13" s="20">
        <v>13870111</v>
      </c>
      <c r="I13" s="45" t="s">
        <v>86</v>
      </c>
      <c r="J13" s="45" t="s">
        <v>87</v>
      </c>
      <c r="K13" s="43" t="s">
        <v>84</v>
      </c>
      <c r="L13" s="43" t="s">
        <v>85</v>
      </c>
      <c r="M13" s="45" t="s">
        <v>46</v>
      </c>
      <c r="N13" s="43" t="s">
        <v>83</v>
      </c>
      <c r="O13" s="45">
        <v>1</v>
      </c>
      <c r="P13" s="45" t="s">
        <v>88</v>
      </c>
      <c r="Q13" s="45">
        <v>5433728399</v>
      </c>
      <c r="R13" s="45" t="s">
        <v>89</v>
      </c>
      <c r="S13" s="1">
        <v>15.39</v>
      </c>
      <c r="T13" s="1" t="s">
        <v>351</v>
      </c>
      <c r="U13" s="1">
        <v>9932912867</v>
      </c>
      <c r="V13" s="1">
        <v>9932912867</v>
      </c>
    </row>
    <row r="14" spans="1:22" ht="20.25" x14ac:dyDescent="0.7">
      <c r="A14" s="14">
        <v>13</v>
      </c>
      <c r="B14" s="29" t="s">
        <v>64</v>
      </c>
      <c r="C14" s="19" t="s">
        <v>65</v>
      </c>
      <c r="D14" s="19">
        <v>6110298433</v>
      </c>
      <c r="E14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4" s="24" t="s">
        <v>102</v>
      </c>
      <c r="G14" s="47">
        <v>9158433151</v>
      </c>
      <c r="H14" s="19">
        <v>13880217</v>
      </c>
      <c r="I14" s="45" t="s">
        <v>86</v>
      </c>
      <c r="J14" s="45" t="s">
        <v>87</v>
      </c>
      <c r="K14" s="43" t="s">
        <v>84</v>
      </c>
      <c r="L14" s="43" t="s">
        <v>85</v>
      </c>
      <c r="M14" s="47" t="s">
        <v>46</v>
      </c>
      <c r="N14" s="43" t="s">
        <v>83</v>
      </c>
      <c r="O14" s="45">
        <v>1</v>
      </c>
      <c r="P14" s="45" t="s">
        <v>88</v>
      </c>
      <c r="Q14" s="45">
        <v>5433728399</v>
      </c>
      <c r="R14" s="45" t="s">
        <v>89</v>
      </c>
      <c r="S14" s="4">
        <v>17.329999999999998</v>
      </c>
      <c r="T14" s="4" t="s">
        <v>285</v>
      </c>
      <c r="U14" s="4">
        <v>9937739951</v>
      </c>
      <c r="V14" s="4">
        <v>9937739951</v>
      </c>
    </row>
    <row r="15" spans="1:22" ht="20.25" x14ac:dyDescent="0.7">
      <c r="A15" s="15">
        <v>14</v>
      </c>
      <c r="B15" s="30" t="s">
        <v>66</v>
      </c>
      <c r="C15" s="20" t="s">
        <v>67</v>
      </c>
      <c r="D15" s="20">
        <v>3710858909</v>
      </c>
      <c r="E15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5" s="25" t="s">
        <v>103</v>
      </c>
      <c r="G15" s="45">
        <v>9908518337</v>
      </c>
      <c r="H15" s="20">
        <v>13880221</v>
      </c>
      <c r="I15" s="45" t="s">
        <v>86</v>
      </c>
      <c r="J15" s="45" t="s">
        <v>87</v>
      </c>
      <c r="K15" s="43" t="s">
        <v>84</v>
      </c>
      <c r="L15" s="43" t="s">
        <v>85</v>
      </c>
      <c r="M15" s="45" t="s">
        <v>46</v>
      </c>
      <c r="N15" s="43" t="s">
        <v>83</v>
      </c>
      <c r="O15" s="45">
        <v>1</v>
      </c>
      <c r="P15" s="45" t="s">
        <v>88</v>
      </c>
      <c r="Q15" s="45">
        <v>5433728399</v>
      </c>
      <c r="R15" s="45" t="s">
        <v>89</v>
      </c>
      <c r="S15" s="1">
        <v>15.01</v>
      </c>
      <c r="T15" s="1" t="s">
        <v>352</v>
      </c>
      <c r="U15" s="1">
        <v>9159430075</v>
      </c>
      <c r="V15" s="1">
        <v>9159430075</v>
      </c>
    </row>
    <row r="16" spans="1:22" ht="20.25" x14ac:dyDescent="0.7">
      <c r="A16" s="14">
        <v>15</v>
      </c>
      <c r="B16" s="29" t="s">
        <v>49</v>
      </c>
      <c r="C16" s="19" t="s">
        <v>68</v>
      </c>
      <c r="D16" s="19">
        <v>810416840</v>
      </c>
      <c r="E16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6" s="24" t="s">
        <v>91</v>
      </c>
      <c r="G16" s="47">
        <v>9154330286</v>
      </c>
      <c r="H16" s="19">
        <v>13871228</v>
      </c>
      <c r="I16" s="45" t="s">
        <v>86</v>
      </c>
      <c r="J16" s="45" t="s">
        <v>87</v>
      </c>
      <c r="K16" s="43" t="s">
        <v>84</v>
      </c>
      <c r="L16" s="43" t="s">
        <v>85</v>
      </c>
      <c r="M16" s="47" t="s">
        <v>46</v>
      </c>
      <c r="N16" s="43" t="s">
        <v>83</v>
      </c>
      <c r="O16" s="45">
        <v>1</v>
      </c>
      <c r="P16" s="45" t="s">
        <v>88</v>
      </c>
      <c r="Q16" s="45">
        <v>5433728399</v>
      </c>
      <c r="R16" s="45" t="s">
        <v>89</v>
      </c>
      <c r="S16" s="4">
        <v>16.739999999999998</v>
      </c>
      <c r="T16" s="4" t="s">
        <v>353</v>
      </c>
      <c r="U16" s="4">
        <v>9151312512</v>
      </c>
      <c r="V16" s="4">
        <v>9151312512</v>
      </c>
    </row>
    <row r="17" spans="1:22" ht="20.25" x14ac:dyDescent="0.7">
      <c r="A17" s="15">
        <v>16</v>
      </c>
      <c r="B17" s="30" t="s">
        <v>70</v>
      </c>
      <c r="C17" s="20" t="s">
        <v>26</v>
      </c>
      <c r="D17" s="20">
        <v>3710814601</v>
      </c>
      <c r="E17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7" s="25" t="s">
        <v>104</v>
      </c>
      <c r="G17" s="45">
        <v>9150338320</v>
      </c>
      <c r="H17" s="20">
        <v>13870422</v>
      </c>
      <c r="I17" s="45" t="s">
        <v>86</v>
      </c>
      <c r="J17" s="45" t="s">
        <v>87</v>
      </c>
      <c r="K17" s="43" t="s">
        <v>84</v>
      </c>
      <c r="L17" s="43" t="s">
        <v>85</v>
      </c>
      <c r="M17" s="45" t="s">
        <v>46</v>
      </c>
      <c r="N17" s="43" t="s">
        <v>83</v>
      </c>
      <c r="O17" s="45">
        <v>1</v>
      </c>
      <c r="P17" s="45" t="s">
        <v>88</v>
      </c>
      <c r="Q17" s="45">
        <v>5433728399</v>
      </c>
      <c r="R17" s="45" t="s">
        <v>89</v>
      </c>
      <c r="S17" s="1">
        <v>13.35</v>
      </c>
      <c r="T17" s="1" t="s">
        <v>354</v>
      </c>
      <c r="U17" s="1">
        <v>9135382856</v>
      </c>
      <c r="V17" s="1">
        <v>9135382856</v>
      </c>
    </row>
    <row r="18" spans="1:22" ht="20.25" x14ac:dyDescent="0.7">
      <c r="A18" s="14">
        <v>17</v>
      </c>
      <c r="B18" s="29" t="s">
        <v>40</v>
      </c>
      <c r="C18" s="19" t="s">
        <v>26</v>
      </c>
      <c r="D18" s="19">
        <v>3710860954</v>
      </c>
      <c r="E18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8" s="24" t="s">
        <v>90</v>
      </c>
      <c r="G18" s="47">
        <v>9151493581</v>
      </c>
      <c r="H18" s="19">
        <v>13880325</v>
      </c>
      <c r="I18" s="45" t="s">
        <v>86</v>
      </c>
      <c r="J18" s="45" t="s">
        <v>87</v>
      </c>
      <c r="K18" s="43" t="s">
        <v>84</v>
      </c>
      <c r="L18" s="43" t="s">
        <v>85</v>
      </c>
      <c r="M18" s="47" t="s">
        <v>46</v>
      </c>
      <c r="N18" s="43" t="s">
        <v>83</v>
      </c>
      <c r="O18" s="45">
        <v>1</v>
      </c>
      <c r="P18" s="45" t="s">
        <v>88</v>
      </c>
      <c r="Q18" s="45">
        <v>5433728399</v>
      </c>
      <c r="R18" s="45" t="s">
        <v>89</v>
      </c>
      <c r="S18" s="4">
        <v>14.69</v>
      </c>
      <c r="T18" s="4" t="s">
        <v>281</v>
      </c>
      <c r="U18" s="4">
        <v>9152984348</v>
      </c>
      <c r="V18" s="4">
        <v>9152984348</v>
      </c>
    </row>
    <row r="19" spans="1:22" ht="20.25" x14ac:dyDescent="0.7">
      <c r="A19" s="15">
        <v>18</v>
      </c>
      <c r="B19" s="30" t="s">
        <v>69</v>
      </c>
      <c r="C19" s="20" t="s">
        <v>26</v>
      </c>
      <c r="D19" s="20">
        <v>3710873282</v>
      </c>
      <c r="E19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19" s="25" t="s">
        <v>105</v>
      </c>
      <c r="G19" s="45">
        <v>9157437294</v>
      </c>
      <c r="H19" s="20">
        <v>13880701</v>
      </c>
      <c r="I19" s="45" t="s">
        <v>86</v>
      </c>
      <c r="J19" s="45" t="s">
        <v>87</v>
      </c>
      <c r="K19" s="43" t="s">
        <v>84</v>
      </c>
      <c r="L19" s="43" t="s">
        <v>85</v>
      </c>
      <c r="M19" s="45" t="s">
        <v>46</v>
      </c>
      <c r="N19" s="43" t="s">
        <v>83</v>
      </c>
      <c r="O19" s="45">
        <v>1</v>
      </c>
      <c r="P19" s="45" t="s">
        <v>88</v>
      </c>
      <c r="Q19" s="45">
        <v>5433728399</v>
      </c>
      <c r="R19" s="45" t="s">
        <v>89</v>
      </c>
      <c r="S19" s="1">
        <v>15.36</v>
      </c>
      <c r="T19" s="1" t="s">
        <v>355</v>
      </c>
      <c r="U19" s="1">
        <v>9902637577</v>
      </c>
      <c r="V19" s="1">
        <v>9902637577</v>
      </c>
    </row>
    <row r="20" spans="1:22" ht="20.25" x14ac:dyDescent="0.7">
      <c r="A20" s="14">
        <v>19</v>
      </c>
      <c r="B20" s="29" t="s">
        <v>71</v>
      </c>
      <c r="C20" s="19" t="s">
        <v>72</v>
      </c>
      <c r="D20" s="19">
        <v>3710855748</v>
      </c>
      <c r="E20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0" s="24" t="s">
        <v>106</v>
      </c>
      <c r="G20" s="47">
        <v>9390992735</v>
      </c>
      <c r="H20" s="19">
        <v>13880216</v>
      </c>
      <c r="I20" s="45" t="s">
        <v>86</v>
      </c>
      <c r="J20" s="45" t="s">
        <v>87</v>
      </c>
      <c r="K20" s="43" t="s">
        <v>84</v>
      </c>
      <c r="L20" s="43" t="s">
        <v>85</v>
      </c>
      <c r="M20" s="47" t="s">
        <v>46</v>
      </c>
      <c r="N20" s="43" t="s">
        <v>83</v>
      </c>
      <c r="O20" s="45">
        <v>1</v>
      </c>
      <c r="P20" s="45" t="s">
        <v>88</v>
      </c>
      <c r="Q20" s="45">
        <v>5433728399</v>
      </c>
      <c r="R20" s="45" t="s">
        <v>89</v>
      </c>
      <c r="S20" s="4">
        <v>15.51</v>
      </c>
      <c r="T20" s="4" t="s">
        <v>356</v>
      </c>
      <c r="U20" s="4">
        <v>9154587716</v>
      </c>
      <c r="V20" s="4">
        <v>9154587716</v>
      </c>
    </row>
    <row r="21" spans="1:22" ht="20.25" x14ac:dyDescent="0.7">
      <c r="A21" s="15">
        <v>20</v>
      </c>
      <c r="B21" s="31" t="s">
        <v>73</v>
      </c>
      <c r="C21" s="21" t="s">
        <v>31</v>
      </c>
      <c r="D21" s="21">
        <v>3710828910</v>
      </c>
      <c r="E21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1" s="26" t="s">
        <v>107</v>
      </c>
      <c r="G21" s="45">
        <v>9157437093</v>
      </c>
      <c r="H21" s="21">
        <v>13870727</v>
      </c>
      <c r="I21" s="45" t="s">
        <v>86</v>
      </c>
      <c r="J21" s="45" t="s">
        <v>87</v>
      </c>
      <c r="K21" s="43" t="s">
        <v>84</v>
      </c>
      <c r="L21" s="43" t="s">
        <v>85</v>
      </c>
      <c r="M21" s="45" t="s">
        <v>46</v>
      </c>
      <c r="N21" s="43" t="s">
        <v>83</v>
      </c>
      <c r="O21" s="45">
        <v>1</v>
      </c>
      <c r="P21" s="45" t="s">
        <v>88</v>
      </c>
      <c r="Q21" s="45">
        <v>5433728399</v>
      </c>
      <c r="R21" s="45" t="s">
        <v>89</v>
      </c>
      <c r="S21" s="1">
        <v>17.32</v>
      </c>
      <c r="T21" s="1" t="s">
        <v>357</v>
      </c>
      <c r="U21" s="1">
        <v>9158463256</v>
      </c>
      <c r="V21" s="1">
        <v>9158463256</v>
      </c>
    </row>
    <row r="22" spans="1:22" ht="20.25" x14ac:dyDescent="0.7">
      <c r="A22" s="14">
        <v>21</v>
      </c>
      <c r="B22" s="30" t="s">
        <v>37</v>
      </c>
      <c r="C22" s="20" t="s">
        <v>31</v>
      </c>
      <c r="D22" s="20">
        <v>3710838754</v>
      </c>
      <c r="E22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2" s="25" t="s">
        <v>108</v>
      </c>
      <c r="G22" s="45">
        <v>9150230624</v>
      </c>
      <c r="H22" s="20">
        <v>13871014</v>
      </c>
      <c r="I22" s="45" t="s">
        <v>86</v>
      </c>
      <c r="J22" s="45" t="s">
        <v>87</v>
      </c>
      <c r="K22" s="43" t="s">
        <v>84</v>
      </c>
      <c r="L22" s="43" t="s">
        <v>85</v>
      </c>
      <c r="M22" s="45" t="s">
        <v>46</v>
      </c>
      <c r="N22" s="43" t="s">
        <v>83</v>
      </c>
      <c r="O22" s="45">
        <v>1</v>
      </c>
      <c r="P22" s="45" t="s">
        <v>88</v>
      </c>
      <c r="Q22" s="45">
        <v>5433728399</v>
      </c>
      <c r="R22" s="45" t="s">
        <v>89</v>
      </c>
      <c r="S22" s="1">
        <v>15.25</v>
      </c>
      <c r="T22" s="1" t="s">
        <v>358</v>
      </c>
      <c r="U22" s="1">
        <v>9159902556</v>
      </c>
      <c r="V22" s="1">
        <v>9159902556</v>
      </c>
    </row>
    <row r="23" spans="1:22" ht="20.25" x14ac:dyDescent="0.7">
      <c r="A23" s="15">
        <v>22</v>
      </c>
      <c r="B23" s="29" t="s">
        <v>40</v>
      </c>
      <c r="C23" s="19" t="s">
        <v>31</v>
      </c>
      <c r="D23" s="19">
        <v>3710846307</v>
      </c>
      <c r="E23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3" s="24" t="s">
        <v>109</v>
      </c>
      <c r="G23" s="47">
        <v>9154345897</v>
      </c>
      <c r="H23" s="19">
        <v>13871109</v>
      </c>
      <c r="I23" s="45" t="s">
        <v>86</v>
      </c>
      <c r="J23" s="45" t="s">
        <v>87</v>
      </c>
      <c r="K23" s="43" t="s">
        <v>84</v>
      </c>
      <c r="L23" s="43" t="s">
        <v>85</v>
      </c>
      <c r="M23" s="47" t="s">
        <v>46</v>
      </c>
      <c r="N23" s="43" t="s">
        <v>83</v>
      </c>
      <c r="O23" s="45">
        <v>1</v>
      </c>
      <c r="P23" s="45" t="s">
        <v>88</v>
      </c>
      <c r="Q23" s="45">
        <v>5433728399</v>
      </c>
      <c r="R23" s="45" t="s">
        <v>89</v>
      </c>
      <c r="S23" s="4">
        <v>14.45</v>
      </c>
      <c r="T23" s="4" t="s">
        <v>359</v>
      </c>
      <c r="U23" s="4">
        <v>9152835689</v>
      </c>
      <c r="V23" s="4">
        <v>9152835689</v>
      </c>
    </row>
    <row r="24" spans="1:22" ht="20.25" x14ac:dyDescent="0.7">
      <c r="A24" s="14">
        <v>23</v>
      </c>
      <c r="B24" s="32" t="s">
        <v>74</v>
      </c>
      <c r="C24" s="22" t="s">
        <v>75</v>
      </c>
      <c r="D24" s="22">
        <v>3710841674</v>
      </c>
      <c r="E24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4" s="27" t="s">
        <v>110</v>
      </c>
      <c r="G24" s="45">
        <v>9966408515</v>
      </c>
      <c r="H24" s="22">
        <v>13880110</v>
      </c>
      <c r="I24" s="45" t="s">
        <v>86</v>
      </c>
      <c r="J24" s="45" t="s">
        <v>87</v>
      </c>
      <c r="K24" s="43" t="s">
        <v>84</v>
      </c>
      <c r="L24" s="43" t="s">
        <v>85</v>
      </c>
      <c r="M24" s="45" t="s">
        <v>46</v>
      </c>
      <c r="N24" s="43" t="s">
        <v>83</v>
      </c>
      <c r="O24" s="45">
        <v>1</v>
      </c>
      <c r="P24" s="45" t="s">
        <v>88</v>
      </c>
      <c r="Q24" s="45">
        <v>5433728399</v>
      </c>
      <c r="R24" s="45" t="s">
        <v>89</v>
      </c>
      <c r="S24" s="1">
        <v>15.13</v>
      </c>
      <c r="T24" s="1" t="s">
        <v>360</v>
      </c>
      <c r="U24" s="1">
        <v>9909413323</v>
      </c>
      <c r="V24" s="1">
        <v>9909413323</v>
      </c>
    </row>
    <row r="25" spans="1:22" ht="20.25" x14ac:dyDescent="0.7">
      <c r="A25" s="15">
        <v>24</v>
      </c>
      <c r="B25" s="29" t="s">
        <v>76</v>
      </c>
      <c r="C25" s="19" t="s">
        <v>34</v>
      </c>
      <c r="D25" s="19">
        <v>3710853291</v>
      </c>
      <c r="E25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5" s="24" t="s">
        <v>111</v>
      </c>
      <c r="G25" s="47">
        <v>9030312558</v>
      </c>
      <c r="H25" s="19">
        <v>13871229</v>
      </c>
      <c r="I25" s="45" t="s">
        <v>86</v>
      </c>
      <c r="J25" s="45" t="s">
        <v>87</v>
      </c>
      <c r="K25" s="43" t="s">
        <v>84</v>
      </c>
      <c r="L25" s="43" t="s">
        <v>85</v>
      </c>
      <c r="M25" s="47" t="s">
        <v>46</v>
      </c>
      <c r="N25" s="43" t="s">
        <v>83</v>
      </c>
      <c r="O25" s="45">
        <v>1</v>
      </c>
      <c r="P25" s="45" t="s">
        <v>88</v>
      </c>
      <c r="Q25" s="45">
        <v>5433728399</v>
      </c>
      <c r="R25" s="45" t="s">
        <v>89</v>
      </c>
      <c r="S25" s="4">
        <v>15.13</v>
      </c>
      <c r="T25" s="4" t="s">
        <v>361</v>
      </c>
      <c r="U25" s="4">
        <v>9153430200</v>
      </c>
      <c r="V25" s="4">
        <v>9153430200</v>
      </c>
    </row>
    <row r="26" spans="1:22" ht="20.25" x14ac:dyDescent="0.7">
      <c r="A26" s="14">
        <v>25</v>
      </c>
      <c r="B26" s="30" t="s">
        <v>21</v>
      </c>
      <c r="C26" s="20" t="s">
        <v>34</v>
      </c>
      <c r="D26" s="20">
        <v>3710794171</v>
      </c>
      <c r="E26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6" s="25" t="s">
        <v>100</v>
      </c>
      <c r="G26" s="45">
        <v>9939152751</v>
      </c>
      <c r="H26" s="20">
        <v>13861026</v>
      </c>
      <c r="I26" s="45" t="s">
        <v>86</v>
      </c>
      <c r="J26" s="45" t="s">
        <v>87</v>
      </c>
      <c r="K26" s="43" t="s">
        <v>84</v>
      </c>
      <c r="L26" s="43" t="s">
        <v>85</v>
      </c>
      <c r="M26" s="45" t="s">
        <v>46</v>
      </c>
      <c r="N26" s="43" t="s">
        <v>83</v>
      </c>
      <c r="O26" s="45">
        <v>1</v>
      </c>
      <c r="P26" s="45" t="s">
        <v>88</v>
      </c>
      <c r="Q26" s="45">
        <v>5433728399</v>
      </c>
      <c r="R26" s="45" t="s">
        <v>89</v>
      </c>
      <c r="S26" s="1">
        <v>14.02</v>
      </c>
      <c r="T26" s="1" t="s">
        <v>362</v>
      </c>
      <c r="U26" s="1">
        <v>9151921319</v>
      </c>
      <c r="V26" s="1">
        <v>9151921319</v>
      </c>
    </row>
    <row r="27" spans="1:22" ht="20.25" x14ac:dyDescent="0.7">
      <c r="A27" s="15">
        <v>26</v>
      </c>
      <c r="B27" s="29" t="s">
        <v>77</v>
      </c>
      <c r="C27" s="19" t="s">
        <v>34</v>
      </c>
      <c r="D27" s="19">
        <v>3710822963</v>
      </c>
      <c r="E27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7" s="24" t="s">
        <v>112</v>
      </c>
      <c r="G27" s="45">
        <v>9150606589</v>
      </c>
      <c r="H27" s="19">
        <v>13870525</v>
      </c>
      <c r="I27" s="45" t="s">
        <v>86</v>
      </c>
      <c r="J27" s="45" t="s">
        <v>87</v>
      </c>
      <c r="K27" s="43" t="s">
        <v>84</v>
      </c>
      <c r="L27" s="43" t="s">
        <v>85</v>
      </c>
      <c r="M27" s="47" t="s">
        <v>46</v>
      </c>
      <c r="N27" s="43" t="s">
        <v>83</v>
      </c>
      <c r="O27" s="45">
        <v>1</v>
      </c>
      <c r="P27" s="45" t="s">
        <v>88</v>
      </c>
      <c r="Q27" s="45">
        <v>5433728399</v>
      </c>
      <c r="R27" s="45" t="s">
        <v>89</v>
      </c>
      <c r="S27" s="4">
        <v>14.27</v>
      </c>
      <c r="T27" s="4" t="s">
        <v>363</v>
      </c>
      <c r="U27" s="4">
        <v>9152109500</v>
      </c>
      <c r="V27" s="4">
        <v>9152109500</v>
      </c>
    </row>
    <row r="28" spans="1:22" ht="20.25" x14ac:dyDescent="0.7">
      <c r="A28" s="14">
        <v>27</v>
      </c>
      <c r="B28" s="30" t="s">
        <v>52</v>
      </c>
      <c r="C28" s="20" t="s">
        <v>36</v>
      </c>
      <c r="D28" s="20">
        <v>3710778883</v>
      </c>
      <c r="E28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8" s="25" t="s">
        <v>113</v>
      </c>
      <c r="G28" s="47">
        <v>9156372158</v>
      </c>
      <c r="H28" s="20">
        <v>13860802</v>
      </c>
      <c r="I28" s="45" t="s">
        <v>86</v>
      </c>
      <c r="J28" s="45" t="s">
        <v>87</v>
      </c>
      <c r="K28" s="43" t="s">
        <v>84</v>
      </c>
      <c r="L28" s="43" t="s">
        <v>85</v>
      </c>
      <c r="M28" s="45" t="s">
        <v>46</v>
      </c>
      <c r="N28" s="43" t="s">
        <v>83</v>
      </c>
      <c r="O28" s="45">
        <v>1</v>
      </c>
      <c r="P28" s="45" t="s">
        <v>88</v>
      </c>
      <c r="Q28" s="45">
        <v>5433728399</v>
      </c>
      <c r="R28" s="45" t="s">
        <v>89</v>
      </c>
      <c r="S28" s="1">
        <v>15.36</v>
      </c>
      <c r="T28" s="1" t="s">
        <v>364</v>
      </c>
      <c r="U28" s="1">
        <v>9057620287</v>
      </c>
      <c r="V28" s="1">
        <v>9057620287</v>
      </c>
    </row>
    <row r="29" spans="1:22" ht="17.649999999999999" x14ac:dyDescent="0.7">
      <c r="A29" s="15">
        <v>28</v>
      </c>
      <c r="B29" s="19" t="s">
        <v>40</v>
      </c>
      <c r="C29" s="19" t="s">
        <v>36</v>
      </c>
      <c r="D29" s="19">
        <v>3710835704</v>
      </c>
      <c r="E29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29" s="24" t="s">
        <v>114</v>
      </c>
      <c r="G29" s="45">
        <v>9156776731</v>
      </c>
      <c r="H29" s="19">
        <v>13870913</v>
      </c>
      <c r="I29" s="45" t="s">
        <v>86</v>
      </c>
      <c r="J29" s="45" t="s">
        <v>87</v>
      </c>
      <c r="K29" s="43" t="s">
        <v>84</v>
      </c>
      <c r="L29" s="43" t="s">
        <v>85</v>
      </c>
      <c r="M29" s="47" t="s">
        <v>46</v>
      </c>
      <c r="N29" s="43" t="s">
        <v>83</v>
      </c>
      <c r="O29" s="45">
        <v>1</v>
      </c>
      <c r="P29" s="45" t="s">
        <v>88</v>
      </c>
      <c r="Q29" s="45">
        <v>5433728399</v>
      </c>
      <c r="R29" s="45" t="s">
        <v>89</v>
      </c>
      <c r="S29" s="4">
        <v>14.06</v>
      </c>
      <c r="T29" s="4" t="s">
        <v>365</v>
      </c>
      <c r="U29" s="4">
        <v>9906019850</v>
      </c>
      <c r="V29" s="4">
        <v>9906019850</v>
      </c>
    </row>
    <row r="30" spans="1:22" ht="17.649999999999999" x14ac:dyDescent="0.7">
      <c r="A30" s="14">
        <v>29</v>
      </c>
      <c r="B30" s="20" t="s">
        <v>33</v>
      </c>
      <c r="C30" s="20" t="s">
        <v>78</v>
      </c>
      <c r="D30" s="20">
        <v>3710846226</v>
      </c>
      <c r="E30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0" s="25" t="s">
        <v>115</v>
      </c>
      <c r="G30" s="45">
        <v>9151956681</v>
      </c>
      <c r="H30" s="20">
        <v>13871114</v>
      </c>
      <c r="I30" s="45" t="s">
        <v>86</v>
      </c>
      <c r="J30" s="45" t="s">
        <v>87</v>
      </c>
      <c r="K30" s="43" t="s">
        <v>84</v>
      </c>
      <c r="L30" s="43" t="s">
        <v>85</v>
      </c>
      <c r="M30" s="45" t="s">
        <v>46</v>
      </c>
      <c r="N30" s="43" t="s">
        <v>83</v>
      </c>
      <c r="O30" s="45">
        <v>1</v>
      </c>
      <c r="P30" s="45" t="s">
        <v>88</v>
      </c>
      <c r="Q30" s="45">
        <v>5433728399</v>
      </c>
      <c r="R30" s="45" t="s">
        <v>89</v>
      </c>
      <c r="S30" s="1">
        <v>14.33</v>
      </c>
      <c r="T30" s="1" t="s">
        <v>366</v>
      </c>
      <c r="U30" s="1">
        <v>9928783317</v>
      </c>
      <c r="V30" s="1">
        <v>9928783317</v>
      </c>
    </row>
    <row r="31" spans="1:22" ht="17.649999999999999" x14ac:dyDescent="0.7">
      <c r="A31" s="15">
        <v>30</v>
      </c>
      <c r="B31" s="19" t="s">
        <v>79</v>
      </c>
      <c r="C31" s="19" t="s">
        <v>39</v>
      </c>
      <c r="D31" s="19">
        <v>3710839718</v>
      </c>
      <c r="E31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1" s="24" t="s">
        <v>116</v>
      </c>
      <c r="G31" s="45">
        <v>9931632400</v>
      </c>
      <c r="H31" s="19">
        <v>13870930</v>
      </c>
      <c r="I31" s="45" t="s">
        <v>86</v>
      </c>
      <c r="J31" s="45" t="s">
        <v>87</v>
      </c>
      <c r="K31" s="43" t="s">
        <v>84</v>
      </c>
      <c r="L31" s="43" t="s">
        <v>85</v>
      </c>
      <c r="M31" s="47" t="s">
        <v>46</v>
      </c>
      <c r="N31" s="43" t="s">
        <v>83</v>
      </c>
      <c r="O31" s="45">
        <v>1</v>
      </c>
      <c r="P31" s="45" t="s">
        <v>88</v>
      </c>
      <c r="Q31" s="45">
        <v>5433728399</v>
      </c>
      <c r="R31" s="45" t="s">
        <v>89</v>
      </c>
      <c r="S31" s="4">
        <v>13.12</v>
      </c>
      <c r="T31" s="4" t="s">
        <v>367</v>
      </c>
      <c r="U31" s="4">
        <v>99321632400</v>
      </c>
      <c r="V31" s="4">
        <v>99321632400</v>
      </c>
    </row>
    <row r="32" spans="1:22" ht="17.649999999999999" x14ac:dyDescent="0.7">
      <c r="A32" s="14">
        <v>31</v>
      </c>
      <c r="B32" s="20" t="s">
        <v>22</v>
      </c>
      <c r="C32" s="20" t="s">
        <v>39</v>
      </c>
      <c r="D32" s="20">
        <v>3710839823</v>
      </c>
      <c r="E32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2" s="25" t="s">
        <v>117</v>
      </c>
      <c r="G32" s="47">
        <v>9155492778</v>
      </c>
      <c r="H32" s="20">
        <v>13871030</v>
      </c>
      <c r="I32" s="45" t="s">
        <v>86</v>
      </c>
      <c r="J32" s="45" t="s">
        <v>87</v>
      </c>
      <c r="K32" s="43" t="s">
        <v>84</v>
      </c>
      <c r="L32" s="43" t="s">
        <v>85</v>
      </c>
      <c r="M32" s="45" t="s">
        <v>46</v>
      </c>
      <c r="N32" s="43" t="s">
        <v>83</v>
      </c>
      <c r="O32" s="45">
        <v>1</v>
      </c>
      <c r="P32" s="45" t="s">
        <v>88</v>
      </c>
      <c r="Q32" s="45">
        <v>5433728399</v>
      </c>
      <c r="R32" s="45" t="s">
        <v>89</v>
      </c>
      <c r="S32" s="1">
        <v>13.08</v>
      </c>
      <c r="T32" s="1" t="s">
        <v>368</v>
      </c>
      <c r="U32" s="1">
        <v>9157308339</v>
      </c>
      <c r="V32" s="1">
        <v>9157308339</v>
      </c>
    </row>
    <row r="33" spans="1:22" ht="17.649999999999999" x14ac:dyDescent="0.7">
      <c r="A33" s="15">
        <v>32</v>
      </c>
      <c r="B33" s="19" t="s">
        <v>37</v>
      </c>
      <c r="C33" s="19" t="s">
        <v>80</v>
      </c>
      <c r="D33" s="19">
        <v>3691020925</v>
      </c>
      <c r="E33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3" s="24" t="s">
        <v>118</v>
      </c>
      <c r="G33" s="53" t="s">
        <v>225</v>
      </c>
      <c r="H33" s="19">
        <v>13870718</v>
      </c>
      <c r="I33" s="45" t="s">
        <v>86</v>
      </c>
      <c r="J33" s="45" t="s">
        <v>87</v>
      </c>
      <c r="K33" s="43" t="s">
        <v>84</v>
      </c>
      <c r="L33" s="43" t="s">
        <v>85</v>
      </c>
      <c r="M33" s="47" t="s">
        <v>46</v>
      </c>
      <c r="N33" s="43" t="s">
        <v>83</v>
      </c>
      <c r="O33" s="45">
        <v>1</v>
      </c>
      <c r="P33" s="45" t="s">
        <v>88</v>
      </c>
      <c r="Q33" s="45">
        <v>5433728399</v>
      </c>
      <c r="R33" s="45" t="s">
        <v>89</v>
      </c>
      <c r="S33" s="4">
        <v>13.06</v>
      </c>
      <c r="T33" s="4" t="s">
        <v>369</v>
      </c>
      <c r="U33" s="4">
        <v>9159436918</v>
      </c>
      <c r="V33" s="4">
        <v>9159436918</v>
      </c>
    </row>
    <row r="34" spans="1:22" ht="17.649999999999999" x14ac:dyDescent="0.7">
      <c r="A34" s="14">
        <v>33</v>
      </c>
      <c r="B34" s="20" t="s">
        <v>81</v>
      </c>
      <c r="C34" s="20" t="s">
        <v>82</v>
      </c>
      <c r="D34" s="20">
        <v>3612686682</v>
      </c>
      <c r="E34" s="50" t="e">
        <f>IF(
 MOD(SUMPRODUCT(MID(TEXT(#REF!,"0000000000"),{1,2,3,4,5,6,7,8,9},1)*{10,9,8,7,6,5,4,3,2}),11)
 =
 IF(RIGHT(TEXT(#REF!,"0000000000"),1)&lt;2, RIGHT(TEXT(#REF!,"0000000000"),1), 11-RIGHT(TEXT(#REF!,"0000000000"),1)),
"درست","اشتباه")</f>
        <v>#REF!</v>
      </c>
      <c r="F34" s="25" t="s">
        <v>119</v>
      </c>
      <c r="G34" s="51" t="s">
        <v>339</v>
      </c>
      <c r="H34" s="20">
        <v>13880627</v>
      </c>
      <c r="I34" s="45" t="s">
        <v>86</v>
      </c>
      <c r="J34" s="45" t="s">
        <v>87</v>
      </c>
      <c r="K34" s="43" t="s">
        <v>84</v>
      </c>
      <c r="L34" s="43" t="s">
        <v>85</v>
      </c>
      <c r="M34" s="45" t="s">
        <v>46</v>
      </c>
      <c r="N34" s="43" t="s">
        <v>83</v>
      </c>
      <c r="O34" s="45">
        <v>1</v>
      </c>
      <c r="P34" s="45" t="s">
        <v>88</v>
      </c>
      <c r="Q34" s="45">
        <v>5433728399</v>
      </c>
      <c r="R34" s="45" t="s">
        <v>89</v>
      </c>
      <c r="S34" s="1">
        <v>12.86</v>
      </c>
      <c r="T34" s="1" t="s">
        <v>370</v>
      </c>
      <c r="U34" s="1">
        <v>9158434151</v>
      </c>
      <c r="V34" s="1">
        <v>9158434151</v>
      </c>
    </row>
    <row r="35" spans="1:22" x14ac:dyDescent="0.35">
      <c r="A35" s="15">
        <v>34</v>
      </c>
    </row>
    <row r="36" spans="1:22" x14ac:dyDescent="0.35">
      <c r="A36" s="14">
        <v>35</v>
      </c>
    </row>
    <row r="37" spans="1:22" x14ac:dyDescent="0.35">
      <c r="A37" s="15">
        <v>36</v>
      </c>
      <c r="B37" s="4"/>
      <c r="C37" s="4"/>
      <c r="D37" s="5"/>
      <c r="E37" s="8" t="str">
        <f>IF(
 MOD(SUMPRODUCT(MID(TEXT(D37,"0000000000"),{1,2,3,4,5,6,7,8,9},1)*{10,9,8,7,6,5,4,3,2}),11)
 =
 IF(RIGHT(TEXT(D37,"0000000000"),1)&lt;2, RIGHT(TEXT(D37,"0000000000"),1), 11-RIGHT(TEXT(D37,"0000000000"),1)),
"درست","اشتباه")</f>
        <v>اشتباه</v>
      </c>
      <c r="F37" s="4"/>
      <c r="G37" s="16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</row>
    <row r="38" spans="1:22" x14ac:dyDescent="0.35">
      <c r="A38" s="14">
        <v>37</v>
      </c>
      <c r="B38" s="1"/>
      <c r="C38" s="1"/>
      <c r="D38" s="2"/>
      <c r="E38" s="8" t="str">
        <f>IF(
 MOD(SUMPRODUCT(MID(TEXT(D38,"0000000000"),{1,2,3,4,5,6,7,8,9},1)*{10,9,8,7,6,5,4,3,2}),11)
 =
 IF(RIGHT(TEXT(D38,"0000000000"),1)&lt;2, RIGHT(TEXT(D38,"0000000000"),1), 11-RIGHT(TEXT(D38,"0000000000"),1)),
"درست","اشتباه")</f>
        <v>اشتباه</v>
      </c>
      <c r="F38" s="1"/>
      <c r="G38" s="59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 x14ac:dyDescent="0.35">
      <c r="A39" s="15">
        <v>38</v>
      </c>
      <c r="B39" s="4"/>
      <c r="C39" s="4"/>
      <c r="D39" s="5"/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اشتباه</v>
      </c>
      <c r="F39" s="4"/>
      <c r="G39" s="16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</row>
    <row r="40" spans="1:22" x14ac:dyDescent="0.35">
      <c r="A40" s="14">
        <v>39</v>
      </c>
      <c r="B40" s="1"/>
      <c r="C40" s="1"/>
      <c r="D40" s="2"/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/>
      <c r="G40" s="59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x14ac:dyDescent="0.35">
      <c r="A41" s="15">
        <v>40</v>
      </c>
      <c r="B41" s="4"/>
      <c r="C41" s="4"/>
      <c r="D41" s="5"/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4"/>
      <c r="G41" s="16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 x14ac:dyDescent="0.35">
      <c r="A42" s="14">
        <v>41</v>
      </c>
      <c r="B42" s="1"/>
      <c r="C42" s="1"/>
      <c r="D42" s="2"/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/>
      <c r="G42" s="59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x14ac:dyDescent="0.35">
      <c r="A43" s="15">
        <v>42</v>
      </c>
      <c r="B43" s="4"/>
      <c r="C43" s="4"/>
      <c r="D43" s="5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"/>
      <c r="G43" s="16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 x14ac:dyDescent="0.35">
      <c r="A44" s="14">
        <v>43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59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x14ac:dyDescent="0.35">
      <c r="A45" s="15">
        <v>44</v>
      </c>
      <c r="B45" s="4"/>
      <c r="C45" s="4"/>
      <c r="D45" s="5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"/>
      <c r="G45" s="16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 x14ac:dyDescent="0.35">
      <c r="A46" s="14">
        <v>45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59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x14ac:dyDescent="0.35">
      <c r="A47" s="15">
        <v>46</v>
      </c>
      <c r="B47" s="4"/>
      <c r="C47" s="4"/>
      <c r="D47" s="5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"/>
      <c r="G47" s="16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 x14ac:dyDescent="0.35">
      <c r="A48" s="14">
        <v>47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59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x14ac:dyDescent="0.35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16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 x14ac:dyDescent="0.35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59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x14ac:dyDescent="0.35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16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 x14ac:dyDescent="0.35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59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x14ac:dyDescent="0.35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16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 x14ac:dyDescent="0.35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59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x14ac:dyDescent="0.35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16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 x14ac:dyDescent="0.35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59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x14ac:dyDescent="0.35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16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 x14ac:dyDescent="0.35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59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x14ac:dyDescent="0.35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16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 x14ac:dyDescent="0.35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59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x14ac:dyDescent="0.35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16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 x14ac:dyDescent="0.35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59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x14ac:dyDescent="0.35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16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 x14ac:dyDescent="0.35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59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x14ac:dyDescent="0.35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16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 x14ac:dyDescent="0.35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59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 x14ac:dyDescent="0.35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16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 x14ac:dyDescent="0.35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59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 x14ac:dyDescent="0.35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16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 x14ac:dyDescent="0.35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59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 x14ac:dyDescent="0.35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16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 x14ac:dyDescent="0.35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59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 x14ac:dyDescent="0.35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16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 x14ac:dyDescent="0.35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59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 x14ac:dyDescent="0.35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16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 x14ac:dyDescent="0.35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59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 x14ac:dyDescent="0.35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16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 x14ac:dyDescent="0.35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59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 x14ac:dyDescent="0.35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16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 x14ac:dyDescent="0.35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59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 x14ac:dyDescent="0.35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16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 x14ac:dyDescent="0.35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59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 x14ac:dyDescent="0.35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16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 x14ac:dyDescent="0.35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59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 x14ac:dyDescent="0.35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16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 x14ac:dyDescent="0.35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59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 x14ac:dyDescent="0.35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16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 x14ac:dyDescent="0.35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59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 x14ac:dyDescent="0.35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16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 x14ac:dyDescent="0.35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59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 x14ac:dyDescent="0.35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16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 x14ac:dyDescent="0.35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59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 x14ac:dyDescent="0.35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16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 x14ac:dyDescent="0.35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59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 x14ac:dyDescent="0.35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16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 x14ac:dyDescent="0.35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59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 x14ac:dyDescent="0.35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16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 x14ac:dyDescent="0.35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59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x14ac:dyDescent="0.35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16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 x14ac:dyDescent="0.35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59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 x14ac:dyDescent="0.35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16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 x14ac:dyDescent="0.35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59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 x14ac:dyDescent="0.35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16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 x14ac:dyDescent="0.35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59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 x14ac:dyDescent="0.35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16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 x14ac:dyDescent="0.35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59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 x14ac:dyDescent="0.35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16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 x14ac:dyDescent="0.35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59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 x14ac:dyDescent="0.35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16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 x14ac:dyDescent="0.35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59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0000000}"/>
  <dataValidations count="3">
    <dataValidation type="custom" showInputMessage="1" showErrorMessage="1" error="شماره تماس وارد شده باید 11 رقم باشد و با 09 شروع شود" sqref="G1:G3 G33:G34 G37:G1048576" xr:uid="{00000000-0002-0000-0000-000000000000}">
      <formula1>AND(LEFT(G1,2)="09", LEN(G1)=11)</formula1>
    </dataValidation>
    <dataValidation type="custom" showInputMessage="1" showErrorMessage="1" error="تاریخ به درستی وارد نشده است" sqref="H1:H20 H29:H34 H37:H1048576" xr:uid="{00000000-0002-0000-0000-000001000000}">
      <formula1>AND(H1&gt;="1383/07/01", H1&lt;="1389/07/01")</formula1>
    </dataValidation>
    <dataValidation type="custom" showInputMessage="1" showErrorMessage="1" error="شماره کلاس باید 1 یا 2 باشد" sqref="C3:C34 O2:O34 O37:O110" xr:uid="{00000000-0002-0000-0000-000002000000}">
      <formula1>OR(C2=1, C2=2)</formula1>
    </dataValidation>
  </dataValidation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/>
  <dimension ref="A1:V110"/>
  <sheetViews>
    <sheetView rightToLeft="1" workbookViewId="0">
      <pane ySplit="1" topLeftCell="A2" activePane="bottomLeft" state="frozen"/>
      <selection pane="bottomLeft" activeCell="D15" sqref="D15"/>
    </sheetView>
  </sheetViews>
  <sheetFormatPr defaultRowHeight="13.5" x14ac:dyDescent="0.35"/>
  <cols>
    <col min="2" max="2" width="13.6875" customWidth="1"/>
    <col min="3" max="3" width="15" customWidth="1"/>
    <col min="4" max="4" width="13.6875" customWidth="1"/>
    <col min="6" max="6" width="10.3125" customWidth="1"/>
    <col min="7" max="7" width="11.6875" customWidth="1"/>
    <col min="8" max="8" width="11.3125" customWidth="1"/>
    <col min="9" max="9" width="12" customWidth="1"/>
    <col min="11" max="11" width="13.6875" customWidth="1"/>
    <col min="17" max="17" width="17.6875" customWidth="1"/>
    <col min="18" max="18" width="14.125" customWidth="1"/>
    <col min="19" max="19" width="14.3125" customWidth="1"/>
    <col min="20" max="20" width="13.6875" customWidth="1"/>
    <col min="21" max="21" width="17" customWidth="1"/>
    <col min="22" max="22" width="16.3125" customWidth="1"/>
  </cols>
  <sheetData>
    <row r="1" spans="1:22" ht="30.6" customHeight="1" x14ac:dyDescent="0.35">
      <c r="A1" s="10" t="s">
        <v>0</v>
      </c>
      <c r="B1" s="11" t="s">
        <v>1</v>
      </c>
      <c r="C1" s="11" t="s">
        <v>2</v>
      </c>
      <c r="D1" s="12" t="s">
        <v>3</v>
      </c>
      <c r="E1" s="11"/>
      <c r="F1" s="11" t="s">
        <v>4</v>
      </c>
      <c r="G1" s="12" t="s">
        <v>5</v>
      </c>
      <c r="H1" s="12" t="s">
        <v>6</v>
      </c>
      <c r="I1" s="11" t="s">
        <v>7</v>
      </c>
      <c r="J1" s="11" t="s">
        <v>8</v>
      </c>
      <c r="K1" s="11" t="s">
        <v>9</v>
      </c>
      <c r="L1" s="11" t="s">
        <v>10</v>
      </c>
      <c r="M1" s="11" t="s">
        <v>11</v>
      </c>
      <c r="N1" s="11" t="s">
        <v>12</v>
      </c>
      <c r="O1" s="11" t="s">
        <v>13</v>
      </c>
      <c r="P1" s="11" t="s">
        <v>14</v>
      </c>
      <c r="Q1" s="11" t="s">
        <v>15</v>
      </c>
      <c r="R1" s="11" t="s">
        <v>16</v>
      </c>
      <c r="S1" s="11" t="s">
        <v>17</v>
      </c>
      <c r="T1" s="11" t="s">
        <v>18</v>
      </c>
      <c r="U1" s="11" t="s">
        <v>19</v>
      </c>
      <c r="V1" s="13" t="s">
        <v>20</v>
      </c>
    </row>
    <row r="2" spans="1:22" ht="17.649999999999999" x14ac:dyDescent="0.75">
      <c r="A2" s="44">
        <v>1</v>
      </c>
      <c r="B2" s="33" t="s">
        <v>120</v>
      </c>
      <c r="C2" s="33" t="s">
        <v>129</v>
      </c>
      <c r="D2" s="33">
        <v>3710855837</v>
      </c>
      <c r="E2" s="34" t="str">
        <f>IF(
 MOD(SUMPRODUCT(MID(TEXT(D2,"0000000000"),{1,2,3,4,5,6,7,8,9},1)*{10,9,8,7,6,5,4,3,2}),11)
 =
 IF(RIGHT(TEXT(D2,"0000000000"),1)&lt;2, RIGHT(TEXT(D2,"0000000000"),1), 11-RIGHT(TEXT(D2,"0000000000"),1)),
"درست","اشتباه")</f>
        <v>درست</v>
      </c>
      <c r="F2" s="33" t="s">
        <v>133</v>
      </c>
      <c r="G2">
        <v>9156055671</v>
      </c>
      <c r="H2" s="49">
        <v>13880214</v>
      </c>
      <c r="I2" s="45" t="s">
        <v>86</v>
      </c>
      <c r="J2" s="45" t="s">
        <v>87</v>
      </c>
      <c r="K2" s="43" t="s">
        <v>84</v>
      </c>
      <c r="L2" s="43" t="s">
        <v>85</v>
      </c>
      <c r="M2" s="45" t="s">
        <v>46</v>
      </c>
      <c r="N2" s="43" t="s">
        <v>83</v>
      </c>
      <c r="O2" s="45">
        <v>1</v>
      </c>
      <c r="P2" s="45" t="s">
        <v>88</v>
      </c>
      <c r="Q2" s="45">
        <v>5433728399</v>
      </c>
      <c r="R2" s="45" t="s">
        <v>89</v>
      </c>
      <c r="S2" s="1">
        <v>14.77</v>
      </c>
      <c r="T2" t="s">
        <v>279</v>
      </c>
      <c r="U2" s="61" t="s">
        <v>265</v>
      </c>
      <c r="V2" s="60" t="s">
        <v>265</v>
      </c>
    </row>
    <row r="3" spans="1:22" ht="17.649999999999999" x14ac:dyDescent="0.75">
      <c r="A3" s="52">
        <v>2</v>
      </c>
      <c r="B3" s="33" t="s">
        <v>59</v>
      </c>
      <c r="C3" s="33" t="s">
        <v>53</v>
      </c>
      <c r="D3" s="33">
        <v>3710809398</v>
      </c>
      <c r="E3" s="34" t="str">
        <f>IF(
 MOD(SUMPRODUCT(MID(TEXT(D3,"0000000000"),{1,2,3,4,5,6,7,8,9},1)*{10,9,8,7,6,5,4,3,2}),11)
 =
 IF(RIGHT(TEXT(D3,"0000000000"),1)&lt;2, RIGHT(TEXT(D3,"0000000000"),1), 11-RIGHT(TEXT(D3,"0000000000"),1)),
"درست","اشتباه")</f>
        <v>درست</v>
      </c>
      <c r="F3" s="33" t="s">
        <v>134</v>
      </c>
      <c r="G3" s="53" t="s">
        <v>266</v>
      </c>
      <c r="H3" s="49">
        <v>13870222</v>
      </c>
      <c r="I3" s="45" t="s">
        <v>86</v>
      </c>
      <c r="J3" s="45" t="s">
        <v>87</v>
      </c>
      <c r="K3" s="43" t="s">
        <v>84</v>
      </c>
      <c r="L3" s="43" t="s">
        <v>85</v>
      </c>
      <c r="M3" s="47" t="s">
        <v>46</v>
      </c>
      <c r="N3" s="43" t="s">
        <v>83</v>
      </c>
      <c r="O3" s="45">
        <v>1</v>
      </c>
      <c r="P3" s="45" t="s">
        <v>88</v>
      </c>
      <c r="Q3" s="45">
        <v>5433728399</v>
      </c>
      <c r="R3" s="45" t="s">
        <v>89</v>
      </c>
      <c r="S3" s="4">
        <v>17.82</v>
      </c>
      <c r="T3" t="s">
        <v>246</v>
      </c>
      <c r="U3" s="62">
        <v>9915430545</v>
      </c>
      <c r="V3" s="62">
        <v>9915430545</v>
      </c>
    </row>
    <row r="4" spans="1:22" ht="19.5" customHeight="1" x14ac:dyDescent="0.85">
      <c r="A4" s="37">
        <v>3</v>
      </c>
      <c r="B4" s="33" t="s">
        <v>121</v>
      </c>
      <c r="C4" s="33" t="s">
        <v>53</v>
      </c>
      <c r="D4" s="33">
        <v>3710853850</v>
      </c>
      <c r="E4" s="34" t="str">
        <f>IF(
 MOD(SUMPRODUCT(MID(TEXT(D4,"0000000000"),{1,2,3,4,5,6,7,8,9},1)*{10,9,8,7,6,5,4,3,2}),11)
 =
 IF(RIGHT(TEXT(D4,"0000000000"),1)&lt;2, RIGHT(TEXT(D4,"0000000000"),1), 11-RIGHT(TEXT(D4,"0000000000"),1)),
"درست","اشتباه")</f>
        <v>اشتباه</v>
      </c>
      <c r="F4" s="33" t="s">
        <v>135</v>
      </c>
      <c r="G4" s="38" t="s">
        <v>267</v>
      </c>
      <c r="H4" s="33">
        <v>13871124</v>
      </c>
      <c r="I4" s="56" t="s">
        <v>86</v>
      </c>
      <c r="J4" s="56" t="s">
        <v>87</v>
      </c>
      <c r="K4" s="57" t="s">
        <v>84</v>
      </c>
      <c r="L4" s="57" t="s">
        <v>85</v>
      </c>
      <c r="M4" s="56" t="s">
        <v>46</v>
      </c>
      <c r="N4" s="57" t="s">
        <v>83</v>
      </c>
      <c r="O4" s="56">
        <v>1</v>
      </c>
      <c r="P4" s="56" t="s">
        <v>88</v>
      </c>
      <c r="Q4" s="56">
        <v>5433728399</v>
      </c>
      <c r="R4" s="56" t="s">
        <v>89</v>
      </c>
      <c r="S4" s="58">
        <v>13.91</v>
      </c>
      <c r="T4" t="s">
        <v>246</v>
      </c>
      <c r="U4" s="61">
        <v>9921379183</v>
      </c>
      <c r="V4" s="61">
        <v>9921379183</v>
      </c>
    </row>
    <row r="5" spans="1:22" ht="17.649999999999999" x14ac:dyDescent="0.75">
      <c r="A5" s="52">
        <v>4</v>
      </c>
      <c r="B5" s="33" t="s">
        <v>40</v>
      </c>
      <c r="C5" s="33" t="s">
        <v>58</v>
      </c>
      <c r="D5" s="33">
        <v>3710799813</v>
      </c>
      <c r="E5" s="34" t="str">
        <f>IF(
 MOD(SUMPRODUCT(MID(TEXT(D5,"0000000000"),{1,2,3,4,5,6,7,8,9},1)*{10,9,8,7,6,5,4,3,2}),11)
 =
 IF(RIGHT(TEXT(D5,"0000000000"),1)&lt;2, RIGHT(TEXT(D5,"0000000000"),1), 11-RIGHT(TEXT(D5,"0000000000"),1)),
"درست","اشتباه")</f>
        <v>درست</v>
      </c>
      <c r="F5" s="33" t="s">
        <v>28</v>
      </c>
      <c r="G5" s="53" t="s">
        <v>268</v>
      </c>
      <c r="H5" s="49">
        <v>13870102</v>
      </c>
      <c r="I5" s="45" t="s">
        <v>86</v>
      </c>
      <c r="J5" s="45" t="s">
        <v>87</v>
      </c>
      <c r="K5" s="43" t="s">
        <v>84</v>
      </c>
      <c r="L5" s="43" t="s">
        <v>85</v>
      </c>
      <c r="M5" s="47" t="s">
        <v>46</v>
      </c>
      <c r="N5" s="43" t="s">
        <v>83</v>
      </c>
      <c r="O5" s="45">
        <v>1</v>
      </c>
      <c r="P5" s="45" t="s">
        <v>88</v>
      </c>
      <c r="Q5" s="45">
        <v>5433728399</v>
      </c>
      <c r="R5" s="45" t="s">
        <v>89</v>
      </c>
      <c r="S5" s="4">
        <v>14.52</v>
      </c>
      <c r="T5" t="s">
        <v>280</v>
      </c>
      <c r="U5" s="62">
        <v>9159682920</v>
      </c>
      <c r="V5" s="62">
        <v>9159682920</v>
      </c>
    </row>
    <row r="6" spans="1:22" ht="23.25" customHeight="1" x14ac:dyDescent="0.75">
      <c r="A6" s="37">
        <v>5</v>
      </c>
      <c r="B6" s="33" t="s">
        <v>122</v>
      </c>
      <c r="C6" s="33" t="s">
        <v>24</v>
      </c>
      <c r="D6" s="33">
        <v>3710834351</v>
      </c>
      <c r="E6" s="34" t="str">
        <f>IF(
 MOD(SUMPRODUCT(MID(TEXT(D6,"0000000000"),{1,2,3,4,5,6,7,8,9},1)*{10,9,8,7,6,5,4,3,2}),11)
 =
 IF(RIGHT(TEXT(D6,"0000000000"),1)&lt;2, RIGHT(TEXT(D6,"0000000000"),1), 11-RIGHT(TEXT(D6,"0000000000"),1)),
"درست","اشتباه")</f>
        <v>اشتباه</v>
      </c>
      <c r="F6" s="33" t="s">
        <v>136</v>
      </c>
      <c r="G6" s="38" t="s">
        <v>269</v>
      </c>
      <c r="H6" s="33">
        <v>13870804</v>
      </c>
      <c r="I6" s="56" t="s">
        <v>86</v>
      </c>
      <c r="J6" s="56" t="s">
        <v>87</v>
      </c>
      <c r="K6" s="57" t="s">
        <v>84</v>
      </c>
      <c r="L6" s="57" t="s">
        <v>85</v>
      </c>
      <c r="M6" s="56" t="s">
        <v>46</v>
      </c>
      <c r="N6" s="57" t="s">
        <v>83</v>
      </c>
      <c r="O6" s="56">
        <v>1</v>
      </c>
      <c r="P6" s="56" t="s">
        <v>88</v>
      </c>
      <c r="Q6" s="56">
        <v>5433728399</v>
      </c>
      <c r="R6" s="56" t="s">
        <v>89</v>
      </c>
      <c r="S6" s="1">
        <v>15.95</v>
      </c>
      <c r="T6" t="s">
        <v>246</v>
      </c>
      <c r="U6" s="61">
        <v>9963066467</v>
      </c>
      <c r="V6" s="61">
        <v>9963066467</v>
      </c>
    </row>
    <row r="7" spans="1:22" ht="19.5" customHeight="1" x14ac:dyDescent="0.75">
      <c r="A7" s="15"/>
      <c r="B7" s="33" t="s">
        <v>21</v>
      </c>
      <c r="C7" s="33" t="s">
        <v>31</v>
      </c>
      <c r="D7" s="33">
        <v>3710833795</v>
      </c>
      <c r="E7" s="34" t="str">
        <f>IF(
 MOD(SUMPRODUCT(MID(TEXT(D7,"0000000000"),{1,2,3,4,5,6,7,8,9},1)*{10,9,8,7,6,5,4,3,2}),11)
 =
 IF(RIGHT(TEXT(D7,"0000000000"),1)&lt;2, RIGHT(TEXT(D7,"0000000000"),1), 11-RIGHT(TEXT(D7,"0000000000"),1)),
"درست","اشتباه")</f>
        <v>درست</v>
      </c>
      <c r="F7" s="33" t="s">
        <v>137</v>
      </c>
      <c r="G7" s="51" t="s">
        <v>270</v>
      </c>
      <c r="H7" s="49">
        <v>13870910</v>
      </c>
      <c r="I7" s="45" t="s">
        <v>86</v>
      </c>
      <c r="J7" s="45" t="s">
        <v>87</v>
      </c>
      <c r="K7" s="43" t="s">
        <v>84</v>
      </c>
      <c r="L7" s="43" t="s">
        <v>85</v>
      </c>
      <c r="M7" s="45" t="s">
        <v>46</v>
      </c>
      <c r="N7" s="43" t="s">
        <v>83</v>
      </c>
      <c r="O7" s="45">
        <v>1</v>
      </c>
      <c r="P7" s="45" t="s">
        <v>88</v>
      </c>
      <c r="Q7" s="45">
        <v>5433728399</v>
      </c>
      <c r="R7" s="45" t="s">
        <v>89</v>
      </c>
      <c r="S7" s="1">
        <v>17.32</v>
      </c>
      <c r="T7" t="s">
        <v>281</v>
      </c>
      <c r="U7" s="61">
        <v>9159394124</v>
      </c>
      <c r="V7" s="61">
        <v>9159394124</v>
      </c>
    </row>
    <row r="8" spans="1:22" ht="17.649999999999999" x14ac:dyDescent="0.75">
      <c r="A8" s="44">
        <v>7</v>
      </c>
      <c r="B8" s="33" t="s">
        <v>123</v>
      </c>
      <c r="C8" s="33" t="s">
        <v>31</v>
      </c>
      <c r="D8" s="33">
        <v>3710793467</v>
      </c>
      <c r="E8" s="34" t="str">
        <f>IF(
 MOD(SUMPRODUCT(MID(TEXT(D8,"0000000000"),{1,2,3,4,5,6,7,8,9},1)*{10,9,8,7,6,5,4,3,2}),11)
 =
 IF(RIGHT(TEXT(D8,"0000000000"),1)&lt;2, RIGHT(TEXT(D8,"0000000000"),1), 11-RIGHT(TEXT(D8,"0000000000"),1)),
"درست","اشتباه")</f>
        <v>درست</v>
      </c>
      <c r="F8" s="33" t="s">
        <v>138</v>
      </c>
      <c r="G8" s="53" t="s">
        <v>271</v>
      </c>
      <c r="H8" s="49">
        <v>13861109</v>
      </c>
      <c r="I8" s="45" t="s">
        <v>86</v>
      </c>
      <c r="J8" s="45" t="s">
        <v>87</v>
      </c>
      <c r="K8" s="43" t="s">
        <v>84</v>
      </c>
      <c r="L8" s="43" t="s">
        <v>85</v>
      </c>
      <c r="M8" s="47" t="s">
        <v>46</v>
      </c>
      <c r="N8" s="43" t="s">
        <v>83</v>
      </c>
      <c r="O8" s="45">
        <v>1</v>
      </c>
      <c r="P8" s="45" t="s">
        <v>88</v>
      </c>
      <c r="Q8" s="45">
        <v>5433728399</v>
      </c>
      <c r="R8" s="45" t="s">
        <v>89</v>
      </c>
      <c r="S8" s="4">
        <v>15.37</v>
      </c>
      <c r="T8" t="s">
        <v>282</v>
      </c>
      <c r="U8" s="62">
        <v>9158551029</v>
      </c>
      <c r="V8" s="62">
        <v>9158551029</v>
      </c>
    </row>
    <row r="9" spans="1:22" ht="17.649999999999999" x14ac:dyDescent="0.75">
      <c r="A9" s="52">
        <v>8</v>
      </c>
      <c r="B9" s="33" t="s">
        <v>124</v>
      </c>
      <c r="C9" s="33" t="s">
        <v>130</v>
      </c>
      <c r="D9" s="33">
        <v>3710837545</v>
      </c>
      <c r="E9" s="34" t="str">
        <f>IF(
 MOD(SUMPRODUCT(MID(TEXT(D9,"0000000000"),{1,2,3,4,5,6,7,8,9},1)*{10,9,8,7,6,5,4,3,2}),11)
 =
 IF(RIGHT(TEXT(D9,"0000000000"),1)&lt;2, RIGHT(TEXT(D9,"0000000000"),1), 11-RIGHT(TEXT(D9,"0000000000"),1)),
"درست","اشتباه")</f>
        <v>درست</v>
      </c>
      <c r="F9" s="33" t="s">
        <v>137</v>
      </c>
      <c r="G9" s="51" t="s">
        <v>272</v>
      </c>
      <c r="H9" s="49">
        <v>13871002</v>
      </c>
      <c r="I9" s="45" t="s">
        <v>86</v>
      </c>
      <c r="J9" s="45" t="s">
        <v>87</v>
      </c>
      <c r="K9" s="43" t="s">
        <v>84</v>
      </c>
      <c r="L9" s="43" t="s">
        <v>85</v>
      </c>
      <c r="M9" s="45" t="s">
        <v>46</v>
      </c>
      <c r="N9" s="43" t="s">
        <v>83</v>
      </c>
      <c r="O9" s="45">
        <v>1</v>
      </c>
      <c r="P9" s="45" t="s">
        <v>88</v>
      </c>
      <c r="Q9" s="45">
        <v>5433728399</v>
      </c>
      <c r="R9" s="45" t="s">
        <v>89</v>
      </c>
      <c r="S9" s="1">
        <v>15.83</v>
      </c>
      <c r="T9" t="s">
        <v>283</v>
      </c>
      <c r="U9" s="61">
        <v>9159418792</v>
      </c>
      <c r="V9" s="61">
        <v>9159418792</v>
      </c>
    </row>
    <row r="10" spans="1:22" ht="17.649999999999999" x14ac:dyDescent="0.75">
      <c r="A10" s="44">
        <v>9</v>
      </c>
      <c r="B10" s="33" t="s">
        <v>125</v>
      </c>
      <c r="C10" s="33" t="s">
        <v>131</v>
      </c>
      <c r="D10" s="33">
        <v>3710792029</v>
      </c>
      <c r="E10" s="34" t="str">
        <f>IF(
 MOD(SUMPRODUCT(MID(TEXT(D10,"0000000000"),{1,2,3,4,5,6,7,8,9},1)*{10,9,8,7,6,5,4,3,2}),11)
 =
 IF(RIGHT(TEXT(D10,"0000000000"),1)&lt;2, RIGHT(TEXT(D10,"0000000000"),1), 11-RIGHT(TEXT(D10,"0000000000"),1)),
"درست","اشتباه")</f>
        <v>درست</v>
      </c>
      <c r="F10" s="33" t="s">
        <v>139</v>
      </c>
      <c r="G10" s="53" t="s">
        <v>273</v>
      </c>
      <c r="H10" s="49">
        <v>13861104</v>
      </c>
      <c r="I10" s="45" t="s">
        <v>86</v>
      </c>
      <c r="J10" s="45" t="s">
        <v>87</v>
      </c>
      <c r="K10" s="43" t="s">
        <v>84</v>
      </c>
      <c r="L10" s="43" t="s">
        <v>85</v>
      </c>
      <c r="M10" s="47" t="s">
        <v>46</v>
      </c>
      <c r="N10" s="43" t="s">
        <v>83</v>
      </c>
      <c r="O10" s="45">
        <v>1</v>
      </c>
      <c r="P10" s="45" t="s">
        <v>88</v>
      </c>
      <c r="Q10" s="45">
        <v>5433728399</v>
      </c>
      <c r="R10" s="45" t="s">
        <v>89</v>
      </c>
      <c r="S10" s="4">
        <v>13.58</v>
      </c>
      <c r="T10" t="s">
        <v>284</v>
      </c>
      <c r="U10" s="62">
        <v>9159883852</v>
      </c>
      <c r="V10" s="62">
        <v>9159883852</v>
      </c>
    </row>
    <row r="11" spans="1:22" ht="17.649999999999999" x14ac:dyDescent="0.75">
      <c r="A11" s="52">
        <v>10</v>
      </c>
      <c r="B11" s="33" t="s">
        <v>123</v>
      </c>
      <c r="C11" s="33" t="s">
        <v>131</v>
      </c>
      <c r="D11" s="33">
        <v>3710858402</v>
      </c>
      <c r="E11" s="34" t="str">
        <f>IF(
 MOD(SUMPRODUCT(MID(TEXT(D11,"0000000000"),{1,2,3,4,5,6,7,8,9},1)*{10,9,8,7,6,5,4,3,2}),11)
 =
 IF(RIGHT(TEXT(D11,"0000000000"),1)&lt;2, RIGHT(TEXT(D11,"0000000000"),1), 11-RIGHT(TEXT(D11,"0000000000"),1)),
"درست","اشتباه")</f>
        <v>درست</v>
      </c>
      <c r="F11" s="33" t="s">
        <v>140</v>
      </c>
      <c r="G11" s="51" t="s">
        <v>274</v>
      </c>
      <c r="H11" s="49">
        <v>13880208</v>
      </c>
      <c r="I11" s="45" t="s">
        <v>86</v>
      </c>
      <c r="J11" s="45" t="s">
        <v>87</v>
      </c>
      <c r="K11" s="43" t="s">
        <v>84</v>
      </c>
      <c r="L11" s="43" t="s">
        <v>85</v>
      </c>
      <c r="M11" s="45" t="s">
        <v>46</v>
      </c>
      <c r="N11" s="43" t="s">
        <v>83</v>
      </c>
      <c r="O11" s="45">
        <v>1</v>
      </c>
      <c r="P11" s="45" t="s">
        <v>88</v>
      </c>
      <c r="Q11" s="45">
        <v>5433728399</v>
      </c>
      <c r="R11" s="45" t="s">
        <v>89</v>
      </c>
      <c r="S11" s="1">
        <v>13.54</v>
      </c>
      <c r="T11" t="s">
        <v>285</v>
      </c>
      <c r="U11" s="61">
        <v>9157815697</v>
      </c>
      <c r="V11" s="61">
        <v>9157815697</v>
      </c>
    </row>
    <row r="12" spans="1:22" ht="17.649999999999999" x14ac:dyDescent="0.75">
      <c r="A12" s="44">
        <v>11</v>
      </c>
      <c r="B12" s="33" t="s">
        <v>64</v>
      </c>
      <c r="C12" s="33" t="s">
        <v>39</v>
      </c>
      <c r="D12" s="33">
        <v>3710864054</v>
      </c>
      <c r="E12" s="34" t="str">
        <f>IF(
 MOD(SUMPRODUCT(MID(TEXT(D12,"0000000000"),{1,2,3,4,5,6,7,8,9},1)*{10,9,8,7,6,5,4,3,2}),11)
 =
 IF(RIGHT(TEXT(D12,"0000000000"),1)&lt;2, RIGHT(TEXT(D12,"0000000000"),1), 11-RIGHT(TEXT(D12,"0000000000"),1)),
"درست","اشتباه")</f>
        <v>درست</v>
      </c>
      <c r="F12" s="33" t="s">
        <v>141</v>
      </c>
      <c r="G12" s="53" t="s">
        <v>275</v>
      </c>
      <c r="H12" s="49">
        <v>13880429</v>
      </c>
      <c r="I12" s="45" t="s">
        <v>86</v>
      </c>
      <c r="J12" s="45" t="s">
        <v>87</v>
      </c>
      <c r="K12" s="43" t="s">
        <v>84</v>
      </c>
      <c r="L12" s="43" t="s">
        <v>85</v>
      </c>
      <c r="M12" s="47" t="s">
        <v>46</v>
      </c>
      <c r="N12" s="43" t="s">
        <v>83</v>
      </c>
      <c r="O12" s="45">
        <v>1</v>
      </c>
      <c r="P12" s="45" t="s">
        <v>88</v>
      </c>
      <c r="Q12" s="45">
        <v>5433728399</v>
      </c>
      <c r="R12" s="45" t="s">
        <v>89</v>
      </c>
      <c r="S12" s="4">
        <v>15.36</v>
      </c>
      <c r="T12" t="s">
        <v>286</v>
      </c>
      <c r="U12" s="62">
        <v>9156539853</v>
      </c>
      <c r="V12" s="62">
        <v>9156539853</v>
      </c>
    </row>
    <row r="13" spans="1:22" ht="17.649999999999999" x14ac:dyDescent="0.75">
      <c r="A13" s="52">
        <v>12</v>
      </c>
      <c r="B13" s="33" t="s">
        <v>126</v>
      </c>
      <c r="C13" s="33" t="s">
        <v>39</v>
      </c>
      <c r="D13" s="33">
        <v>3710870259</v>
      </c>
      <c r="E13" s="34" t="str">
        <f>IF(
 MOD(SUMPRODUCT(MID(TEXT(D13,"0000000000"),{1,2,3,4,5,6,7,8,9},1)*{10,9,8,7,6,5,4,3,2}),11)
 =
 IF(RIGHT(TEXT(D13,"0000000000"),1)&lt;2, RIGHT(TEXT(D13,"0000000000"),1), 11-RIGHT(TEXT(D13,"0000000000"),1)),
"درست","اشتباه")</f>
        <v>درست</v>
      </c>
      <c r="F13" s="33" t="s">
        <v>142</v>
      </c>
      <c r="G13" s="51" t="s">
        <v>276</v>
      </c>
      <c r="H13" s="49">
        <v>13880412</v>
      </c>
      <c r="I13" s="45" t="s">
        <v>86</v>
      </c>
      <c r="J13" s="45" t="s">
        <v>87</v>
      </c>
      <c r="K13" s="43" t="s">
        <v>84</v>
      </c>
      <c r="L13" s="43" t="s">
        <v>85</v>
      </c>
      <c r="M13" s="45" t="s">
        <v>46</v>
      </c>
      <c r="N13" s="43" t="s">
        <v>83</v>
      </c>
      <c r="O13" s="45">
        <v>1</v>
      </c>
      <c r="P13" s="45" t="s">
        <v>88</v>
      </c>
      <c r="Q13" s="45">
        <v>5433728399</v>
      </c>
      <c r="R13" s="45" t="s">
        <v>89</v>
      </c>
      <c r="S13" s="1">
        <v>13.04</v>
      </c>
      <c r="T13" t="s">
        <v>287</v>
      </c>
      <c r="U13" s="61">
        <v>9156372971</v>
      </c>
      <c r="V13" s="61">
        <v>9156372971</v>
      </c>
    </row>
    <row r="14" spans="1:22" ht="17.649999999999999" x14ac:dyDescent="0.75">
      <c r="A14" s="44">
        <v>13</v>
      </c>
      <c r="B14" s="33" t="s">
        <v>127</v>
      </c>
      <c r="C14" s="33" t="s">
        <v>41</v>
      </c>
      <c r="D14" s="33">
        <v>3710875226</v>
      </c>
      <c r="E14" s="34" t="str">
        <f>IF(
 MOD(SUMPRODUCT(MID(TEXT(D14,"0000000000"),{1,2,3,4,5,6,7,8,9},1)*{10,9,8,7,6,5,4,3,2}),11)
 =
 IF(RIGHT(TEXT(D14,"0000000000"),1)&lt;2, RIGHT(TEXT(D14,"0000000000"),1), 11-RIGHT(TEXT(D14,"0000000000"),1)),
"درست","اشتباه")</f>
        <v>درست</v>
      </c>
      <c r="F14" s="33" t="s">
        <v>143</v>
      </c>
      <c r="G14" s="53" t="s">
        <v>277</v>
      </c>
      <c r="H14" s="49">
        <v>13880623</v>
      </c>
      <c r="I14" s="45" t="s">
        <v>86</v>
      </c>
      <c r="J14" s="45" t="s">
        <v>87</v>
      </c>
      <c r="K14" s="43" t="s">
        <v>84</v>
      </c>
      <c r="L14" s="43" t="s">
        <v>85</v>
      </c>
      <c r="M14" s="47" t="s">
        <v>46</v>
      </c>
      <c r="N14" s="43" t="s">
        <v>83</v>
      </c>
      <c r="O14" s="45">
        <v>1</v>
      </c>
      <c r="P14" s="45" t="s">
        <v>88</v>
      </c>
      <c r="Q14" s="45">
        <v>5433728399</v>
      </c>
      <c r="R14" s="45" t="s">
        <v>89</v>
      </c>
      <c r="S14" s="4">
        <v>14.31</v>
      </c>
      <c r="T14" t="s">
        <v>288</v>
      </c>
      <c r="U14" s="62">
        <v>9917143371</v>
      </c>
      <c r="V14" s="62">
        <v>9917143371</v>
      </c>
    </row>
    <row r="15" spans="1:22" ht="17.649999999999999" x14ac:dyDescent="0.75">
      <c r="A15" s="52">
        <v>14</v>
      </c>
      <c r="B15" s="33" t="s">
        <v>128</v>
      </c>
      <c r="C15" s="33" t="s">
        <v>80</v>
      </c>
      <c r="D15" s="33">
        <v>3710808081</v>
      </c>
      <c r="E15" s="34" t="str">
        <f>IF(
 MOD(SUMPRODUCT(MID(TEXT(D15,"0000000000"),{1,2,3,4,5,6,7,8,9},1)*{10,9,8,7,6,5,4,3,2}),11)
 =
 IF(RIGHT(TEXT(D15,"0000000000"),1)&lt;2, RIGHT(TEXT(D15,"0000000000"),1), 11-RIGHT(TEXT(D15,"0000000000"),1)),
"درست","اشتباه")</f>
        <v>درست</v>
      </c>
      <c r="F15" s="33" t="s">
        <v>144</v>
      </c>
      <c r="G15" s="51" t="s">
        <v>278</v>
      </c>
      <c r="H15" s="49">
        <v>13870208</v>
      </c>
      <c r="I15" s="45" t="s">
        <v>86</v>
      </c>
      <c r="J15" s="45" t="s">
        <v>87</v>
      </c>
      <c r="K15" s="43" t="s">
        <v>84</v>
      </c>
      <c r="L15" s="43" t="s">
        <v>85</v>
      </c>
      <c r="M15" s="45" t="s">
        <v>46</v>
      </c>
      <c r="N15" s="43" t="s">
        <v>83</v>
      </c>
      <c r="O15" s="45">
        <v>1</v>
      </c>
      <c r="P15" s="45" t="s">
        <v>88</v>
      </c>
      <c r="Q15" s="45">
        <v>5433728399</v>
      </c>
      <c r="R15" s="45" t="s">
        <v>89</v>
      </c>
      <c r="S15" s="1">
        <v>13.81</v>
      </c>
      <c r="T15" t="s">
        <v>289</v>
      </c>
      <c r="U15" s="61">
        <v>9914165586</v>
      </c>
      <c r="V15" s="61">
        <v>9914165586</v>
      </c>
    </row>
    <row r="16" spans="1:22" ht="17.649999999999999" x14ac:dyDescent="0.75">
      <c r="A16" s="44">
        <v>15</v>
      </c>
      <c r="B16" s="33" t="s">
        <v>372</v>
      </c>
      <c r="C16" s="33" t="s">
        <v>373</v>
      </c>
      <c r="D16" s="33">
        <v>3612763581</v>
      </c>
      <c r="E16" s="34"/>
      <c r="F16" s="33" t="s">
        <v>374</v>
      </c>
      <c r="G16" s="51" t="s">
        <v>376</v>
      </c>
      <c r="H16" s="49" t="s">
        <v>377</v>
      </c>
      <c r="I16" s="45" t="s">
        <v>86</v>
      </c>
      <c r="J16" s="45" t="s">
        <v>87</v>
      </c>
      <c r="K16" s="43" t="s">
        <v>84</v>
      </c>
      <c r="L16" s="43" t="s">
        <v>85</v>
      </c>
      <c r="M16" s="45" t="s">
        <v>46</v>
      </c>
      <c r="N16" s="43" t="s">
        <v>83</v>
      </c>
      <c r="O16" s="45">
        <v>1</v>
      </c>
      <c r="P16" s="45" t="s">
        <v>88</v>
      </c>
      <c r="Q16" s="45">
        <v>5433728399</v>
      </c>
      <c r="R16" s="45" t="s">
        <v>89</v>
      </c>
      <c r="S16" s="1">
        <v>12.05</v>
      </c>
      <c r="T16" t="s">
        <v>375</v>
      </c>
      <c r="U16" s="61">
        <v>9155784464</v>
      </c>
      <c r="V16" s="61">
        <v>9155784464</v>
      </c>
    </row>
    <row r="17" spans="1:22" ht="17.649999999999999" x14ac:dyDescent="0.75">
      <c r="A17" s="52"/>
      <c r="B17" s="33"/>
      <c r="C17" s="33"/>
      <c r="D17" s="33"/>
      <c r="E17" s="34"/>
      <c r="F17" s="33"/>
      <c r="G17" s="53"/>
      <c r="H17" s="49"/>
      <c r="I17" s="45"/>
      <c r="J17" s="45"/>
      <c r="K17" s="43"/>
      <c r="L17" s="43"/>
      <c r="M17" s="47"/>
      <c r="N17" s="43"/>
      <c r="O17" s="45"/>
      <c r="P17" s="45"/>
      <c r="Q17" s="45"/>
      <c r="R17" s="45"/>
      <c r="S17" s="4"/>
      <c r="U17" s="62"/>
      <c r="V17" s="62"/>
    </row>
    <row r="18" spans="1:22" ht="21" customHeight="1" x14ac:dyDescent="0.35">
      <c r="A18" s="44">
        <v>17</v>
      </c>
    </row>
    <row r="19" spans="1:22" hidden="1" x14ac:dyDescent="0.35">
      <c r="A19" s="15">
        <v>18</v>
      </c>
      <c r="B19" s="4"/>
      <c r="C19" s="4"/>
      <c r="D19" s="5"/>
      <c r="E19" s="8" t="str">
        <f>IF(
 MOD(SUMPRODUCT(MID(TEXT(D19,"0000000000"),{1,2,3,4,5,6,7,8,9},1)*{10,9,8,7,6,5,4,3,2}),11)
 =
 IF(RIGHT(TEXT(D19,"0000000000"),1)&lt;2, RIGHT(TEXT(D19,"0000000000"),1), 11-RIGHT(TEXT(D19,"0000000000"),1)),
"درست","اشتباه")</f>
        <v>اشتباه</v>
      </c>
      <c r="F19" s="4"/>
      <c r="G19" s="5"/>
      <c r="H19" s="5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6"/>
    </row>
    <row r="20" spans="1:22" hidden="1" x14ac:dyDescent="0.35">
      <c r="A20" s="14">
        <v>19</v>
      </c>
      <c r="B20" s="1"/>
      <c r="C20" s="1"/>
      <c r="D20" s="2"/>
      <c r="E20" s="8" t="str">
        <f>IF(
 MOD(SUMPRODUCT(MID(TEXT(D20,"0000000000"),{1,2,3,4,5,6,7,8,9},1)*{10,9,8,7,6,5,4,3,2}),11)
 =
 IF(RIGHT(TEXT(D20,"0000000000"),1)&lt;2, RIGHT(TEXT(D20,"0000000000"),1), 11-RIGHT(TEXT(D20,"0000000000"),1)),
"درست","اشتباه")</f>
        <v>اشتباه</v>
      </c>
      <c r="F20" s="1"/>
      <c r="G20" s="2"/>
      <c r="H20" s="2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3"/>
    </row>
    <row r="21" spans="1:22" hidden="1" x14ac:dyDescent="0.35">
      <c r="A21" s="15">
        <v>20</v>
      </c>
      <c r="B21" s="4"/>
      <c r="C21" s="4"/>
      <c r="D21" s="5"/>
      <c r="E21" s="8" t="str">
        <f>IF(
 MOD(SUMPRODUCT(MID(TEXT(D21,"0000000000"),{1,2,3,4,5,6,7,8,9},1)*{10,9,8,7,6,5,4,3,2}),11)
 =
 IF(RIGHT(TEXT(D21,"0000000000"),1)&lt;2, RIGHT(TEXT(D21,"0000000000"),1), 11-RIGHT(TEXT(D21,"0000000000"),1)),
"درست","اشتباه")</f>
        <v>اشتباه</v>
      </c>
      <c r="F21" s="4"/>
      <c r="G21" s="5"/>
      <c r="H21" s="5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6"/>
    </row>
    <row r="22" spans="1:22" hidden="1" x14ac:dyDescent="0.35">
      <c r="A22" s="14">
        <v>21</v>
      </c>
      <c r="B22" s="1"/>
      <c r="C22" s="1"/>
      <c r="D22" s="2"/>
      <c r="E22" s="8" t="str">
        <f>IF(
 MOD(SUMPRODUCT(MID(TEXT(D22,"0000000000"),{1,2,3,4,5,6,7,8,9},1)*{10,9,8,7,6,5,4,3,2}),11)
 =
 IF(RIGHT(TEXT(D22,"0000000000"),1)&lt;2, RIGHT(TEXT(D22,"0000000000"),1), 11-RIGHT(TEXT(D22,"0000000000"),1)),
"درست","اشتباه")</f>
        <v>اشتباه</v>
      </c>
      <c r="F22" s="1"/>
      <c r="G22" s="2"/>
      <c r="H22" s="2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3"/>
    </row>
    <row r="23" spans="1:22" hidden="1" x14ac:dyDescent="0.35">
      <c r="A23" s="15">
        <v>22</v>
      </c>
      <c r="B23" s="4"/>
      <c r="C23" s="4"/>
      <c r="D23" s="5"/>
      <c r="E23" s="8" t="str">
        <f>IF(
 MOD(SUMPRODUCT(MID(TEXT(D23,"0000000000"),{1,2,3,4,5,6,7,8,9},1)*{10,9,8,7,6,5,4,3,2}),11)
 =
 IF(RIGHT(TEXT(D23,"0000000000"),1)&lt;2, RIGHT(TEXT(D23,"0000000000"),1), 11-RIGHT(TEXT(D23,"0000000000"),1)),
"درست","اشتباه")</f>
        <v>اشتباه</v>
      </c>
      <c r="F23" s="4"/>
      <c r="G23" s="5"/>
      <c r="H23" s="5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6"/>
    </row>
    <row r="24" spans="1:22" hidden="1" x14ac:dyDescent="0.35">
      <c r="A24" s="14">
        <v>23</v>
      </c>
      <c r="B24" s="1"/>
      <c r="C24" s="1"/>
      <c r="D24" s="2"/>
      <c r="E24" s="8" t="str">
        <f>IF(
 MOD(SUMPRODUCT(MID(TEXT(D24,"0000000000"),{1,2,3,4,5,6,7,8,9},1)*{10,9,8,7,6,5,4,3,2}),11)
 =
 IF(RIGHT(TEXT(D24,"0000000000"),1)&lt;2, RIGHT(TEXT(D24,"0000000000"),1), 11-RIGHT(TEXT(D24,"0000000000"),1)),
"درست","اشتباه")</f>
        <v>اشتباه</v>
      </c>
      <c r="F24" s="1"/>
      <c r="G24" s="2"/>
      <c r="H24" s="2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3"/>
    </row>
    <row r="25" spans="1:22" hidden="1" x14ac:dyDescent="0.35">
      <c r="A25" s="15">
        <v>24</v>
      </c>
      <c r="B25" s="4"/>
      <c r="C25" s="4"/>
      <c r="D25" s="5"/>
      <c r="E25" s="8" t="str">
        <f>IF(
 MOD(SUMPRODUCT(MID(TEXT(D25,"0000000000"),{1,2,3,4,5,6,7,8,9},1)*{10,9,8,7,6,5,4,3,2}),11)
 =
 IF(RIGHT(TEXT(D25,"0000000000"),1)&lt;2, RIGHT(TEXT(D25,"0000000000"),1), 11-RIGHT(TEXT(D25,"0000000000"),1)),
"درست","اشتباه")</f>
        <v>اشتباه</v>
      </c>
      <c r="F25" s="4"/>
      <c r="G25" s="5"/>
      <c r="H25" s="5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6"/>
    </row>
    <row r="26" spans="1:22" hidden="1" x14ac:dyDescent="0.35">
      <c r="A26" s="14">
        <v>25</v>
      </c>
      <c r="B26" s="1"/>
      <c r="C26" s="1"/>
      <c r="D26" s="2"/>
      <c r="E26" s="8" t="str">
        <f>IF(
 MOD(SUMPRODUCT(MID(TEXT(D26,"0000000000"),{1,2,3,4,5,6,7,8,9},1)*{10,9,8,7,6,5,4,3,2}),11)
 =
 IF(RIGHT(TEXT(D26,"0000000000"),1)&lt;2, RIGHT(TEXT(D26,"0000000000"),1), 11-RIGHT(TEXT(D26,"0000000000"),1)),
"درست","اشتباه")</f>
        <v>اشتباه</v>
      </c>
      <c r="F26" s="1"/>
      <c r="G26" s="2"/>
      <c r="H26" s="2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3"/>
    </row>
    <row r="27" spans="1:22" hidden="1" x14ac:dyDescent="0.35">
      <c r="A27" s="15">
        <v>26</v>
      </c>
      <c r="B27" s="4"/>
      <c r="C27" s="4"/>
      <c r="D27" s="5"/>
      <c r="E27" s="8" t="str">
        <f>IF(
 MOD(SUMPRODUCT(MID(TEXT(D27,"0000000000"),{1,2,3,4,5,6,7,8,9},1)*{10,9,8,7,6,5,4,3,2}),11)
 =
 IF(RIGHT(TEXT(D27,"0000000000"),1)&lt;2, RIGHT(TEXT(D27,"0000000000"),1), 11-RIGHT(TEXT(D27,"0000000000"),1)),
"درست","اشتباه")</f>
        <v>اشتباه</v>
      </c>
      <c r="F27" s="4"/>
      <c r="G27" s="5"/>
      <c r="H27" s="5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6"/>
    </row>
    <row r="28" spans="1:22" hidden="1" x14ac:dyDescent="0.35">
      <c r="A28" s="14">
        <v>27</v>
      </c>
      <c r="B28" s="1"/>
      <c r="C28" s="1"/>
      <c r="D28" s="2"/>
      <c r="E28" s="8" t="str">
        <f>IF(
 MOD(SUMPRODUCT(MID(TEXT(D28,"0000000000"),{1,2,3,4,5,6,7,8,9},1)*{10,9,8,7,6,5,4,3,2}),11)
 =
 IF(RIGHT(TEXT(D28,"0000000000"),1)&lt;2, RIGHT(TEXT(D28,"0000000000"),1), 11-RIGHT(TEXT(D28,"0000000000"),1)),
"درست","اشتباه")</f>
        <v>اشتباه</v>
      </c>
      <c r="F28" s="1"/>
      <c r="G28" s="2"/>
      <c r="H28" s="2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3"/>
    </row>
    <row r="29" spans="1:22" hidden="1" x14ac:dyDescent="0.35">
      <c r="A29" s="15">
        <v>28</v>
      </c>
      <c r="B29" s="4"/>
      <c r="C29" s="4"/>
      <c r="D29" s="5"/>
      <c r="E29" s="8" t="str">
        <f>IF(
 MOD(SUMPRODUCT(MID(TEXT(D29,"0000000000"),{1,2,3,4,5,6,7,8,9},1)*{10,9,8,7,6,5,4,3,2}),11)
 =
 IF(RIGHT(TEXT(D29,"0000000000"),1)&lt;2, RIGHT(TEXT(D29,"0000000000"),1), 11-RIGHT(TEXT(D29,"0000000000"),1)),
"درست","اشتباه")</f>
        <v>اشتباه</v>
      </c>
      <c r="F29" s="4"/>
      <c r="G29" s="5"/>
      <c r="H29" s="5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6"/>
    </row>
    <row r="30" spans="1:22" hidden="1" x14ac:dyDescent="0.35">
      <c r="A30" s="14">
        <v>29</v>
      </c>
      <c r="B30" s="1"/>
      <c r="C30" s="1"/>
      <c r="D30" s="2"/>
      <c r="E30" s="8" t="str">
        <f>IF(
 MOD(SUMPRODUCT(MID(TEXT(D30,"0000000000"),{1,2,3,4,5,6,7,8,9},1)*{10,9,8,7,6,5,4,3,2}),11)
 =
 IF(RIGHT(TEXT(D30,"0000000000"),1)&lt;2, RIGHT(TEXT(D30,"0000000000"),1), 11-RIGHT(TEXT(D30,"0000000000"),1)),
"درست","اشتباه")</f>
        <v>اشتباه</v>
      </c>
      <c r="F30" s="1"/>
      <c r="G30" s="2"/>
      <c r="H30" s="2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3"/>
    </row>
    <row r="31" spans="1:22" hidden="1" x14ac:dyDescent="0.35">
      <c r="A31" s="15">
        <v>30</v>
      </c>
      <c r="B31" s="4"/>
      <c r="C31" s="4"/>
      <c r="D31" s="5"/>
      <c r="E31" s="8" t="str">
        <f>IF(
 MOD(SUMPRODUCT(MID(TEXT(D31,"0000000000"),{1,2,3,4,5,6,7,8,9},1)*{10,9,8,7,6,5,4,3,2}),11)
 =
 IF(RIGHT(TEXT(D31,"0000000000"),1)&lt;2, RIGHT(TEXT(D31,"0000000000"),1), 11-RIGHT(TEXT(D31,"0000000000"),1)),
"درست","اشتباه")</f>
        <v>اشتباه</v>
      </c>
      <c r="F31" s="4"/>
      <c r="G31" s="5"/>
      <c r="H31" s="5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6"/>
    </row>
    <row r="32" spans="1:22" hidden="1" x14ac:dyDescent="0.35">
      <c r="A32" s="14">
        <v>31</v>
      </c>
      <c r="B32" s="1"/>
      <c r="C32" s="1"/>
      <c r="D32" s="2"/>
      <c r="E32" s="8" t="str">
        <f>IF(
 MOD(SUMPRODUCT(MID(TEXT(D32,"0000000000"),{1,2,3,4,5,6,7,8,9},1)*{10,9,8,7,6,5,4,3,2}),11)
 =
 IF(RIGHT(TEXT(D32,"0000000000"),1)&lt;2, RIGHT(TEXT(D32,"0000000000"),1), 11-RIGHT(TEXT(D32,"0000000000"),1)),
"درست","اشتباه")</f>
        <v>اشتباه</v>
      </c>
      <c r="F32" s="1"/>
      <c r="G32" s="2"/>
      <c r="H32" s="2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3"/>
    </row>
    <row r="33" spans="1:22" hidden="1" x14ac:dyDescent="0.35">
      <c r="A33" s="15">
        <v>32</v>
      </c>
      <c r="B33" s="4"/>
      <c r="C33" s="4"/>
      <c r="D33" s="5"/>
      <c r="E33" s="8" t="str">
        <f>IF(
 MOD(SUMPRODUCT(MID(TEXT(D33,"0000000000"),{1,2,3,4,5,6,7,8,9},1)*{10,9,8,7,6,5,4,3,2}),11)
 =
 IF(RIGHT(TEXT(D33,"0000000000"),1)&lt;2, RIGHT(TEXT(D33,"0000000000"),1), 11-RIGHT(TEXT(D33,"0000000000"),1)),
"درست","اشتباه")</f>
        <v>اشتباه</v>
      </c>
      <c r="F33" s="4"/>
      <c r="G33" s="5"/>
      <c r="H33" s="5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6"/>
    </row>
    <row r="34" spans="1:22" hidden="1" x14ac:dyDescent="0.35">
      <c r="A34" s="14">
        <v>33</v>
      </c>
      <c r="B34" s="1"/>
      <c r="C34" s="1"/>
      <c r="D34" s="2"/>
      <c r="E34" s="8" t="str">
        <f>IF(
 MOD(SUMPRODUCT(MID(TEXT(D34,"0000000000"),{1,2,3,4,5,6,7,8,9},1)*{10,9,8,7,6,5,4,3,2}),11)
 =
 IF(RIGHT(TEXT(D34,"0000000000"),1)&lt;2, RIGHT(TEXT(D34,"0000000000"),1), 11-RIGHT(TEXT(D34,"0000000000"),1)),
"درست","اشتباه")</f>
        <v>اشتباه</v>
      </c>
      <c r="F34" s="1"/>
      <c r="G34" s="2"/>
      <c r="H34" s="2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3"/>
    </row>
    <row r="35" spans="1:22" hidden="1" x14ac:dyDescent="0.35">
      <c r="A35" s="15">
        <v>34</v>
      </c>
      <c r="B35" s="4"/>
      <c r="C35" s="4"/>
      <c r="D35" s="5"/>
      <c r="E35" s="8" t="str">
        <f>IF(
 MOD(SUMPRODUCT(MID(TEXT(D35,"0000000000"),{1,2,3,4,5,6,7,8,9},1)*{10,9,8,7,6,5,4,3,2}),11)
 =
 IF(RIGHT(TEXT(D35,"0000000000"),1)&lt;2, RIGHT(TEXT(D35,"0000000000"),1), 11-RIGHT(TEXT(D35,"0000000000"),1)),
"درست","اشتباه")</f>
        <v>اشتباه</v>
      </c>
      <c r="F35" s="4"/>
      <c r="G35" s="5"/>
      <c r="H35" s="5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6"/>
    </row>
    <row r="36" spans="1:22" hidden="1" x14ac:dyDescent="0.35">
      <c r="A36" s="14">
        <v>35</v>
      </c>
      <c r="B36" s="1"/>
      <c r="C36" s="1"/>
      <c r="D36" s="2"/>
      <c r="E36" s="8" t="str">
        <f>IF(
 MOD(SUMPRODUCT(MID(TEXT(D36,"0000000000"),{1,2,3,4,5,6,7,8,9},1)*{10,9,8,7,6,5,4,3,2}),11)
 =
 IF(RIGHT(TEXT(D36,"0000000000"),1)&lt;2, RIGHT(TEXT(D36,"0000000000"),1), 11-RIGHT(TEXT(D36,"0000000000"),1)),
"درست","اشتباه")</f>
        <v>اشتباه</v>
      </c>
      <c r="F36" s="1"/>
      <c r="G36" s="2"/>
      <c r="H36" s="2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3"/>
    </row>
    <row r="37" spans="1:22" hidden="1" x14ac:dyDescent="0.35">
      <c r="A37" s="15">
        <v>36</v>
      </c>
      <c r="B37" s="4"/>
      <c r="C37" s="4"/>
      <c r="D37" s="5"/>
      <c r="E37" s="8" t="str">
        <f>IF(
 MOD(SUMPRODUCT(MID(TEXT(D37,"0000000000"),{1,2,3,4,5,6,7,8,9},1)*{10,9,8,7,6,5,4,3,2}),11)
 =
 IF(RIGHT(TEXT(D37,"0000000000"),1)&lt;2, RIGHT(TEXT(D37,"0000000000"),1), 11-RIGHT(TEXT(D37,"0000000000"),1)),
"درست","اشتباه")</f>
        <v>اشتباه</v>
      </c>
      <c r="F37" s="4"/>
      <c r="G37" s="5"/>
      <c r="H37" s="5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6"/>
    </row>
    <row r="38" spans="1:22" hidden="1" x14ac:dyDescent="0.35">
      <c r="A38" s="14">
        <v>37</v>
      </c>
      <c r="B38" s="1"/>
      <c r="C38" s="1"/>
      <c r="D38" s="2"/>
      <c r="E38" s="8" t="str">
        <f>IF(
 MOD(SUMPRODUCT(MID(TEXT(D38,"0000000000"),{1,2,3,4,5,6,7,8,9},1)*{10,9,8,7,6,5,4,3,2}),11)
 =
 IF(RIGHT(TEXT(D38,"0000000000"),1)&lt;2, RIGHT(TEXT(D38,"0000000000"),1), 11-RIGHT(TEXT(D38,"0000000000"),1)),
"درست","اشتباه")</f>
        <v>اشتباه</v>
      </c>
      <c r="F38" s="1"/>
      <c r="G38" s="2"/>
      <c r="H38" s="2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3"/>
    </row>
    <row r="39" spans="1:22" hidden="1" x14ac:dyDescent="0.35">
      <c r="A39" s="15">
        <v>38</v>
      </c>
      <c r="B39" s="4"/>
      <c r="C39" s="4"/>
      <c r="D39" s="5"/>
      <c r="E39" s="8" t="str">
        <f>IF(
 MOD(SUMPRODUCT(MID(TEXT(D39,"0000000000"),{1,2,3,4,5,6,7,8,9},1)*{10,9,8,7,6,5,4,3,2}),11)
 =
 IF(RIGHT(TEXT(D39,"0000000000"),1)&lt;2, RIGHT(TEXT(D39,"0000000000"),1), 11-RIGHT(TEXT(D39,"0000000000"),1)),
"درست","اشتباه")</f>
        <v>اشتباه</v>
      </c>
      <c r="F39" s="4"/>
      <c r="G39" s="5"/>
      <c r="H39" s="5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6"/>
    </row>
    <row r="40" spans="1:22" hidden="1" x14ac:dyDescent="0.35">
      <c r="A40" s="14">
        <v>39</v>
      </c>
      <c r="B40" s="1"/>
      <c r="C40" s="1"/>
      <c r="D40" s="2"/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hidden="1" x14ac:dyDescent="0.35">
      <c r="A41" s="15">
        <v>40</v>
      </c>
      <c r="B41" s="4"/>
      <c r="C41" s="4"/>
      <c r="D41" s="5"/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 hidden="1" x14ac:dyDescent="0.35">
      <c r="A42" s="14">
        <v>41</v>
      </c>
      <c r="B42" s="1"/>
      <c r="C42" s="1"/>
      <c r="D42" s="2"/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hidden="1" x14ac:dyDescent="0.35">
      <c r="A43" s="15">
        <v>42</v>
      </c>
      <c r="B43" s="4"/>
      <c r="C43" s="4"/>
      <c r="D43" s="5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 hidden="1" x14ac:dyDescent="0.35">
      <c r="A44" s="14">
        <v>43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hidden="1" x14ac:dyDescent="0.35">
      <c r="A45" s="15">
        <v>44</v>
      </c>
      <c r="B45" s="4"/>
      <c r="C45" s="4"/>
      <c r="D45" s="5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 hidden="1" x14ac:dyDescent="0.35">
      <c r="A46" s="14">
        <v>45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hidden="1" x14ac:dyDescent="0.35">
      <c r="A47" s="15">
        <v>46</v>
      </c>
      <c r="B47" s="4"/>
      <c r="C47" s="4"/>
      <c r="D47" s="5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 hidden="1" x14ac:dyDescent="0.35">
      <c r="A48" s="14">
        <v>47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hidden="1" x14ac:dyDescent="0.35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 hidden="1" x14ac:dyDescent="0.35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hidden="1" x14ac:dyDescent="0.35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 hidden="1" x14ac:dyDescent="0.35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hidden="1" x14ac:dyDescent="0.35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 hidden="1" x14ac:dyDescent="0.35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hidden="1" x14ac:dyDescent="0.35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 hidden="1" x14ac:dyDescent="0.35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hidden="1" x14ac:dyDescent="0.35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 hidden="1" x14ac:dyDescent="0.35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hidden="1" x14ac:dyDescent="0.35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 hidden="1" x14ac:dyDescent="0.35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hidden="1" x14ac:dyDescent="0.35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 hidden="1" x14ac:dyDescent="0.35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hidden="1" x14ac:dyDescent="0.35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 hidden="1" x14ac:dyDescent="0.35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hidden="1" x14ac:dyDescent="0.35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 hidden="1" x14ac:dyDescent="0.35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 hidden="1" x14ac:dyDescent="0.35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 hidden="1" x14ac:dyDescent="0.35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 hidden="1" x14ac:dyDescent="0.35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 hidden="1" x14ac:dyDescent="0.35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 hidden="1" x14ac:dyDescent="0.35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 hidden="1" x14ac:dyDescent="0.35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 hidden="1" x14ac:dyDescent="0.35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 hidden="1" x14ac:dyDescent="0.35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 hidden="1" x14ac:dyDescent="0.35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 hidden="1" x14ac:dyDescent="0.35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 hidden="1" x14ac:dyDescent="0.35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 hidden="1" x14ac:dyDescent="0.35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 hidden="1" x14ac:dyDescent="0.35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 hidden="1" x14ac:dyDescent="0.35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 hidden="1" x14ac:dyDescent="0.35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 hidden="1" x14ac:dyDescent="0.35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 hidden="1" x14ac:dyDescent="0.35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 hidden="1" x14ac:dyDescent="0.35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 hidden="1" x14ac:dyDescent="0.35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 hidden="1" x14ac:dyDescent="0.35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 hidden="1" x14ac:dyDescent="0.35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 hidden="1" x14ac:dyDescent="0.35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 hidden="1" x14ac:dyDescent="0.35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 hidden="1" x14ac:dyDescent="0.35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 hidden="1" x14ac:dyDescent="0.35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 hidden="1" x14ac:dyDescent="0.35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 hidden="1" x14ac:dyDescent="0.35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 hidden="1" x14ac:dyDescent="0.35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 hidden="1" x14ac:dyDescent="0.35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 hidden="1" x14ac:dyDescent="0.35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 hidden="1" x14ac:dyDescent="0.35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 hidden="1" x14ac:dyDescent="0.35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hidden="1" x14ac:dyDescent="0.35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 hidden="1" x14ac:dyDescent="0.35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 hidden="1" x14ac:dyDescent="0.35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 hidden="1" x14ac:dyDescent="0.35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 hidden="1" x14ac:dyDescent="0.35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 hidden="1" x14ac:dyDescent="0.35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 hidden="1" x14ac:dyDescent="0.35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 hidden="1" x14ac:dyDescent="0.35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 hidden="1" x14ac:dyDescent="0.35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 ht="16.5" customHeight="1" x14ac:dyDescent="0.35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 ht="12" customHeight="1" x14ac:dyDescent="0.35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 ht="24" customHeight="1" x14ac:dyDescent="0.35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1000000}">
    <filterColumn colId="4">
      <filters>
        <filter val="درست"/>
      </filters>
    </filterColumn>
  </autoFilter>
  <dataValidations count="3">
    <dataValidation type="custom" showInputMessage="1" showErrorMessage="1" error="تاریخ به درستی وارد نشده است" sqref="H1:H17 H19:H110" xr:uid="{00000000-0002-0000-0100-000000000000}">
      <formula1>AND(H1&gt;="1383/07/01", H1&lt;="1389/07/01")</formula1>
    </dataValidation>
    <dataValidation type="custom" showInputMessage="1" showErrorMessage="1" error="شماره کلاس باید 1 یا 2 باشد" sqref="O2:O17 O19:O110" xr:uid="{00000000-0002-0000-0100-000001000000}">
      <formula1>OR(O2=1, O2=2)</formula1>
    </dataValidation>
    <dataValidation type="custom" showInputMessage="1" showErrorMessage="1" error="شماره تماس وارد شده باید 11 رقم باشد و با 09 شروع شود" sqref="V2 G1 G3:G17 G19:G110" xr:uid="{00000000-0002-0000-0100-000002000000}">
      <formula1>AND(LEFT(G1,2)="09", LEN(G1)=11)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filterMode="1"/>
  <dimension ref="A1:V110"/>
  <sheetViews>
    <sheetView rightToLeft="1" workbookViewId="0">
      <pane ySplit="1" topLeftCell="A2" activePane="bottomLeft" state="frozen"/>
      <selection pane="bottomLeft" activeCell="M34" sqref="M34"/>
    </sheetView>
  </sheetViews>
  <sheetFormatPr defaultColWidth="9.125" defaultRowHeight="22.5" customHeight="1" x14ac:dyDescent="0.7"/>
  <cols>
    <col min="1" max="3" width="9.125" style="43"/>
    <col min="4" max="4" width="12.4375" style="43" customWidth="1"/>
    <col min="5" max="16" width="9.125" style="43"/>
    <col min="17" max="17" width="13" style="43" customWidth="1"/>
    <col min="18" max="18" width="9.125" style="43"/>
    <col min="19" max="19" width="10.5625" style="43" customWidth="1"/>
    <col min="20" max="20" width="9.125" style="43"/>
    <col min="21" max="21" width="13" style="43" customWidth="1"/>
    <col min="22" max="22" width="12.5625" style="43" customWidth="1"/>
    <col min="23" max="16384" width="9.125" style="43"/>
  </cols>
  <sheetData>
    <row r="1" spans="1:22" ht="22.5" customHeight="1" x14ac:dyDescent="0.7">
      <c r="A1" s="39" t="s">
        <v>0</v>
      </c>
      <c r="B1" s="40" t="s">
        <v>1</v>
      </c>
      <c r="C1" s="40" t="s">
        <v>2</v>
      </c>
      <c r="D1" s="41" t="s">
        <v>3</v>
      </c>
      <c r="E1" s="40"/>
      <c r="F1" s="40" t="s">
        <v>4</v>
      </c>
      <c r="G1" s="41" t="s">
        <v>5</v>
      </c>
      <c r="H1" s="41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2" t="s">
        <v>20</v>
      </c>
    </row>
    <row r="2" spans="1:22" ht="22.5" customHeight="1" x14ac:dyDescent="0.75">
      <c r="A2" s="44">
        <v>1</v>
      </c>
      <c r="B2" s="33" t="s">
        <v>145</v>
      </c>
      <c r="C2" s="33" t="s">
        <v>160</v>
      </c>
      <c r="D2" s="33">
        <v>3710779529</v>
      </c>
      <c r="E2" s="34"/>
      <c r="F2" s="33" t="s">
        <v>168</v>
      </c>
      <c r="G2" s="38" t="s">
        <v>243</v>
      </c>
      <c r="H2" s="38">
        <v>13860815</v>
      </c>
      <c r="I2" s="45" t="s">
        <v>86</v>
      </c>
      <c r="J2" s="45" t="s">
        <v>87</v>
      </c>
      <c r="K2" s="43" t="s">
        <v>84</v>
      </c>
      <c r="L2" s="43" t="s">
        <v>85</v>
      </c>
      <c r="M2" s="45" t="s">
        <v>46</v>
      </c>
      <c r="N2" s="43" t="s">
        <v>83</v>
      </c>
      <c r="O2" s="45">
        <v>1</v>
      </c>
      <c r="P2" s="45" t="s">
        <v>88</v>
      </c>
      <c r="Q2" s="45">
        <v>5433728399</v>
      </c>
      <c r="R2" s="45" t="s">
        <v>89</v>
      </c>
      <c r="S2" s="45">
        <v>11.91</v>
      </c>
      <c r="T2" s="45" t="s">
        <v>244</v>
      </c>
      <c r="U2" s="45">
        <v>9300675013</v>
      </c>
      <c r="V2" s="45">
        <v>9300675013</v>
      </c>
    </row>
    <row r="3" spans="1:22" ht="22.5" customHeight="1" x14ac:dyDescent="0.75">
      <c r="A3" s="35">
        <v>2</v>
      </c>
      <c r="B3" s="33" t="s">
        <v>40</v>
      </c>
      <c r="C3" s="33" t="s">
        <v>50</v>
      </c>
      <c r="D3" s="33">
        <v>3710809932</v>
      </c>
      <c r="E3" s="34"/>
      <c r="F3" s="33" t="s">
        <v>169</v>
      </c>
      <c r="G3" s="36" t="s">
        <v>241</v>
      </c>
      <c r="H3" s="36">
        <v>13870316</v>
      </c>
      <c r="I3" s="45" t="s">
        <v>86</v>
      </c>
      <c r="J3" s="45" t="s">
        <v>87</v>
      </c>
      <c r="K3" s="43" t="s">
        <v>84</v>
      </c>
      <c r="L3" s="43" t="s">
        <v>85</v>
      </c>
      <c r="M3" s="47" t="s">
        <v>46</v>
      </c>
      <c r="N3" s="43" t="s">
        <v>83</v>
      </c>
      <c r="O3" s="45">
        <v>1</v>
      </c>
      <c r="P3" s="45" t="s">
        <v>88</v>
      </c>
      <c r="Q3" s="45">
        <v>5433728399</v>
      </c>
      <c r="R3" s="45" t="s">
        <v>89</v>
      </c>
      <c r="S3" s="47">
        <v>16.47</v>
      </c>
      <c r="T3" s="47" t="s">
        <v>242</v>
      </c>
      <c r="U3" s="47">
        <v>9395280725</v>
      </c>
      <c r="V3" s="47">
        <v>9395280725</v>
      </c>
    </row>
    <row r="4" spans="1:22" ht="22.5" customHeight="1" x14ac:dyDescent="0.75">
      <c r="A4" s="37">
        <v>3</v>
      </c>
      <c r="B4" s="33" t="s">
        <v>30</v>
      </c>
      <c r="C4" s="33" t="s">
        <v>161</v>
      </c>
      <c r="D4" s="33">
        <v>3710749239</v>
      </c>
      <c r="E4" s="34"/>
      <c r="F4" s="33" t="s">
        <v>42</v>
      </c>
      <c r="G4" s="38" t="s">
        <v>235</v>
      </c>
      <c r="H4" s="38">
        <v>13860126</v>
      </c>
      <c r="I4" s="45" t="s">
        <v>86</v>
      </c>
      <c r="J4" s="45" t="s">
        <v>87</v>
      </c>
      <c r="K4" s="43" t="s">
        <v>84</v>
      </c>
      <c r="L4" s="43" t="s">
        <v>85</v>
      </c>
      <c r="M4" s="45" t="s">
        <v>46</v>
      </c>
      <c r="N4" s="43" t="s">
        <v>83</v>
      </c>
      <c r="O4" s="45">
        <v>1</v>
      </c>
      <c r="P4" s="45" t="s">
        <v>88</v>
      </c>
      <c r="Q4" s="45">
        <v>5433728399</v>
      </c>
      <c r="R4" s="45" t="s">
        <v>89</v>
      </c>
      <c r="S4" s="45">
        <v>13.51</v>
      </c>
      <c r="T4" s="45" t="s">
        <v>236</v>
      </c>
      <c r="U4" s="45">
        <v>9915217824</v>
      </c>
      <c r="V4" s="45">
        <v>9915217824</v>
      </c>
    </row>
    <row r="5" spans="1:22" ht="22.5" customHeight="1" x14ac:dyDescent="0.75">
      <c r="A5" s="35">
        <v>4</v>
      </c>
      <c r="B5" s="33" t="s">
        <v>74</v>
      </c>
      <c r="C5" s="33" t="s">
        <v>23</v>
      </c>
      <c r="D5" s="33">
        <v>3710769361</v>
      </c>
      <c r="E5" s="34"/>
      <c r="F5" s="33" t="s">
        <v>170</v>
      </c>
      <c r="G5" s="38" t="s">
        <v>233</v>
      </c>
      <c r="H5" s="38">
        <v>13860609</v>
      </c>
      <c r="I5" s="45" t="s">
        <v>86</v>
      </c>
      <c r="J5" s="45" t="s">
        <v>87</v>
      </c>
      <c r="K5" s="43" t="s">
        <v>84</v>
      </c>
      <c r="L5" s="43" t="s">
        <v>85</v>
      </c>
      <c r="M5" s="45" t="s">
        <v>46</v>
      </c>
      <c r="N5" s="43" t="s">
        <v>83</v>
      </c>
      <c r="O5" s="45">
        <v>1</v>
      </c>
      <c r="P5" s="45" t="s">
        <v>88</v>
      </c>
      <c r="Q5" s="45">
        <v>5433728399</v>
      </c>
      <c r="R5" s="45" t="s">
        <v>89</v>
      </c>
      <c r="S5" s="45">
        <v>12.69</v>
      </c>
      <c r="T5" s="45" t="s">
        <v>234</v>
      </c>
      <c r="U5" s="45">
        <v>9151921473</v>
      </c>
      <c r="V5" s="45">
        <v>9151921473</v>
      </c>
    </row>
    <row r="6" spans="1:22" ht="22.5" customHeight="1" x14ac:dyDescent="0.75">
      <c r="A6" s="37">
        <v>5</v>
      </c>
      <c r="B6" s="33" t="s">
        <v>146</v>
      </c>
      <c r="C6" s="33" t="s">
        <v>24</v>
      </c>
      <c r="D6" s="33">
        <v>3710800692</v>
      </c>
      <c r="E6" s="34"/>
      <c r="F6" s="33" t="s">
        <v>171</v>
      </c>
      <c r="G6" s="36" t="s">
        <v>245</v>
      </c>
      <c r="H6" s="36">
        <v>13861127</v>
      </c>
      <c r="I6" s="45" t="s">
        <v>86</v>
      </c>
      <c r="J6" s="45" t="s">
        <v>87</v>
      </c>
      <c r="K6" s="43" t="s">
        <v>84</v>
      </c>
      <c r="L6" s="43" t="s">
        <v>85</v>
      </c>
      <c r="M6" s="47" t="s">
        <v>46</v>
      </c>
      <c r="N6" s="43" t="s">
        <v>83</v>
      </c>
      <c r="O6" s="45">
        <v>1</v>
      </c>
      <c r="P6" s="45" t="s">
        <v>88</v>
      </c>
      <c r="Q6" s="45">
        <v>5433728399</v>
      </c>
      <c r="R6" s="45" t="s">
        <v>89</v>
      </c>
      <c r="S6" s="47">
        <v>10.94</v>
      </c>
      <c r="T6" s="47" t="s">
        <v>246</v>
      </c>
      <c r="U6" s="47">
        <v>9158375942</v>
      </c>
      <c r="V6" s="47">
        <v>9158375942</v>
      </c>
    </row>
    <row r="7" spans="1:22" ht="22.5" customHeight="1" x14ac:dyDescent="0.75">
      <c r="A7" s="35">
        <v>6</v>
      </c>
      <c r="B7" s="33" t="s">
        <v>147</v>
      </c>
      <c r="C7" s="33" t="s">
        <v>65</v>
      </c>
      <c r="D7" s="33">
        <v>6110283517</v>
      </c>
      <c r="E7" s="34"/>
      <c r="F7" s="33" t="s">
        <v>102</v>
      </c>
      <c r="G7" s="36" t="s">
        <v>307</v>
      </c>
      <c r="H7" s="36">
        <v>13861226</v>
      </c>
      <c r="I7" s="45" t="s">
        <v>86</v>
      </c>
      <c r="J7" s="45" t="s">
        <v>87</v>
      </c>
      <c r="K7" s="43" t="s">
        <v>84</v>
      </c>
      <c r="L7" s="43" t="s">
        <v>85</v>
      </c>
      <c r="M7" s="47" t="s">
        <v>46</v>
      </c>
      <c r="N7" s="43" t="s">
        <v>83</v>
      </c>
      <c r="O7" s="45">
        <v>1</v>
      </c>
      <c r="P7" s="45" t="s">
        <v>88</v>
      </c>
      <c r="Q7" s="45">
        <v>5433728399</v>
      </c>
      <c r="R7" s="45" t="s">
        <v>89</v>
      </c>
      <c r="S7" s="47">
        <v>13.59</v>
      </c>
      <c r="T7" s="47" t="s">
        <v>305</v>
      </c>
      <c r="U7" s="47">
        <v>9937739951</v>
      </c>
      <c r="V7" s="47">
        <v>9937739951</v>
      </c>
    </row>
    <row r="8" spans="1:22" ht="22.5" customHeight="1" x14ac:dyDescent="0.75">
      <c r="A8" s="37">
        <v>7</v>
      </c>
      <c r="B8" s="33" t="s">
        <v>148</v>
      </c>
      <c r="C8" s="33" t="s">
        <v>162</v>
      </c>
      <c r="D8" s="33">
        <v>3710729084</v>
      </c>
      <c r="E8" s="34"/>
      <c r="F8" s="33" t="s">
        <v>136</v>
      </c>
      <c r="G8" s="38" t="s">
        <v>308</v>
      </c>
      <c r="H8" s="38">
        <v>13850825</v>
      </c>
      <c r="I8" s="45" t="s">
        <v>86</v>
      </c>
      <c r="J8" s="45" t="s">
        <v>87</v>
      </c>
      <c r="K8" s="43" t="s">
        <v>84</v>
      </c>
      <c r="L8" s="43" t="s">
        <v>85</v>
      </c>
      <c r="M8" s="45" t="s">
        <v>46</v>
      </c>
      <c r="N8" s="43" t="s">
        <v>83</v>
      </c>
      <c r="O8" s="45">
        <v>1</v>
      </c>
      <c r="P8" s="45" t="s">
        <v>88</v>
      </c>
      <c r="Q8" s="45">
        <v>5433728399</v>
      </c>
      <c r="R8" s="45" t="s">
        <v>89</v>
      </c>
      <c r="S8" s="45">
        <v>16.37</v>
      </c>
      <c r="T8" s="45" t="s">
        <v>306</v>
      </c>
      <c r="U8" s="45">
        <v>9922386234</v>
      </c>
      <c r="V8" s="45">
        <v>9922386234</v>
      </c>
    </row>
    <row r="9" spans="1:22" ht="22.5" customHeight="1" x14ac:dyDescent="0.75">
      <c r="A9" s="35">
        <v>8</v>
      </c>
      <c r="B9" s="33" t="s">
        <v>149</v>
      </c>
      <c r="C9" s="33" t="s">
        <v>163</v>
      </c>
      <c r="D9" s="33">
        <v>3710789818</v>
      </c>
      <c r="E9" s="34"/>
      <c r="F9" s="33" t="s">
        <v>172</v>
      </c>
      <c r="G9" s="36" t="s">
        <v>309</v>
      </c>
      <c r="H9" s="36">
        <v>13861006</v>
      </c>
      <c r="I9" s="45" t="s">
        <v>86</v>
      </c>
      <c r="J9" s="45" t="s">
        <v>87</v>
      </c>
      <c r="K9" s="43" t="s">
        <v>84</v>
      </c>
      <c r="L9" s="43" t="s">
        <v>85</v>
      </c>
      <c r="M9" s="47" t="s">
        <v>46</v>
      </c>
      <c r="N9" s="43" t="s">
        <v>83</v>
      </c>
      <c r="O9" s="45">
        <v>1</v>
      </c>
      <c r="P9" s="45" t="s">
        <v>88</v>
      </c>
      <c r="Q9" s="45">
        <v>5433728399</v>
      </c>
      <c r="R9" s="45" t="s">
        <v>89</v>
      </c>
      <c r="S9" s="47">
        <v>12.18</v>
      </c>
      <c r="T9" s="47" t="s">
        <v>246</v>
      </c>
      <c r="U9" s="47">
        <v>9158406833</v>
      </c>
      <c r="V9" s="47">
        <v>9158406833</v>
      </c>
    </row>
    <row r="10" spans="1:22" ht="22.5" customHeight="1" x14ac:dyDescent="0.75">
      <c r="A10" s="37">
        <v>9</v>
      </c>
      <c r="B10" s="33" t="s">
        <v>150</v>
      </c>
      <c r="C10" s="33" t="s">
        <v>26</v>
      </c>
      <c r="D10" s="33">
        <v>3710803314</v>
      </c>
      <c r="E10" s="34"/>
      <c r="F10" s="33" t="s">
        <v>173</v>
      </c>
      <c r="G10" s="38" t="s">
        <v>311</v>
      </c>
      <c r="H10" s="38">
        <v>13870125</v>
      </c>
      <c r="I10" s="45" t="s">
        <v>86</v>
      </c>
      <c r="J10" s="45" t="s">
        <v>87</v>
      </c>
      <c r="K10" s="43" t="s">
        <v>84</v>
      </c>
      <c r="L10" s="43" t="s">
        <v>85</v>
      </c>
      <c r="M10" s="45" t="s">
        <v>46</v>
      </c>
      <c r="N10" s="43" t="s">
        <v>83</v>
      </c>
      <c r="O10" s="45">
        <v>1</v>
      </c>
      <c r="P10" s="45" t="s">
        <v>88</v>
      </c>
      <c r="Q10" s="45">
        <v>5433728399</v>
      </c>
      <c r="R10" s="45" t="s">
        <v>89</v>
      </c>
      <c r="S10" s="45">
        <v>11.17</v>
      </c>
      <c r="T10" s="45" t="s">
        <v>327</v>
      </c>
      <c r="U10" s="45">
        <v>9397176099</v>
      </c>
      <c r="V10" s="45">
        <v>9397176099</v>
      </c>
    </row>
    <row r="11" spans="1:22" ht="22.5" customHeight="1" x14ac:dyDescent="0.75">
      <c r="A11" s="35">
        <v>10</v>
      </c>
      <c r="B11" s="33" t="s">
        <v>151</v>
      </c>
      <c r="C11" s="33" t="s">
        <v>26</v>
      </c>
      <c r="D11" s="33">
        <v>3710783577</v>
      </c>
      <c r="E11" s="34"/>
      <c r="F11" s="33" t="s">
        <v>119</v>
      </c>
      <c r="G11" s="36" t="s">
        <v>310</v>
      </c>
      <c r="H11" s="36">
        <v>13860911</v>
      </c>
      <c r="I11" s="45" t="s">
        <v>86</v>
      </c>
      <c r="J11" s="45" t="s">
        <v>87</v>
      </c>
      <c r="K11" s="43" t="s">
        <v>84</v>
      </c>
      <c r="L11" s="43" t="s">
        <v>85</v>
      </c>
      <c r="M11" s="47" t="s">
        <v>46</v>
      </c>
      <c r="N11" s="43" t="s">
        <v>83</v>
      </c>
      <c r="O11" s="45">
        <v>1</v>
      </c>
      <c r="P11" s="45" t="s">
        <v>88</v>
      </c>
      <c r="Q11" s="45">
        <v>5433728399</v>
      </c>
      <c r="R11" s="45" t="s">
        <v>89</v>
      </c>
      <c r="S11" s="47">
        <v>13.41</v>
      </c>
      <c r="T11" s="47" t="s">
        <v>328</v>
      </c>
      <c r="U11" s="47">
        <v>91459919092</v>
      </c>
      <c r="V11" s="47">
        <v>91459919092</v>
      </c>
    </row>
    <row r="12" spans="1:22" ht="22.5" customHeight="1" x14ac:dyDescent="0.75">
      <c r="A12" s="37">
        <v>11</v>
      </c>
      <c r="B12" s="33" t="s">
        <v>43</v>
      </c>
      <c r="C12" s="33" t="s">
        <v>27</v>
      </c>
      <c r="D12" s="33">
        <v>3710817935</v>
      </c>
      <c r="E12" s="34"/>
      <c r="F12" s="33" t="s">
        <v>174</v>
      </c>
      <c r="G12" s="38" t="s">
        <v>239</v>
      </c>
      <c r="H12" s="38">
        <v>13870410</v>
      </c>
      <c r="I12" s="45" t="s">
        <v>86</v>
      </c>
      <c r="J12" s="45" t="s">
        <v>87</v>
      </c>
      <c r="K12" s="43" t="s">
        <v>84</v>
      </c>
      <c r="L12" s="43" t="s">
        <v>85</v>
      </c>
      <c r="M12" s="45" t="s">
        <v>46</v>
      </c>
      <c r="N12" s="43" t="s">
        <v>83</v>
      </c>
      <c r="O12" s="45">
        <v>1</v>
      </c>
      <c r="P12" s="45" t="s">
        <v>88</v>
      </c>
      <c r="Q12" s="45">
        <v>5433728399</v>
      </c>
      <c r="R12" s="45" t="s">
        <v>89</v>
      </c>
      <c r="S12" s="45">
        <v>13.78</v>
      </c>
      <c r="T12" s="45" t="s">
        <v>240</v>
      </c>
      <c r="U12" s="45">
        <v>9153480831</v>
      </c>
      <c r="V12" s="45">
        <v>9153480831</v>
      </c>
    </row>
    <row r="13" spans="1:22" ht="22.5" customHeight="1" x14ac:dyDescent="0.75">
      <c r="A13" s="35">
        <v>12</v>
      </c>
      <c r="B13" s="33" t="s">
        <v>152</v>
      </c>
      <c r="C13" s="33" t="s">
        <v>29</v>
      </c>
      <c r="D13" s="33">
        <v>3710796873</v>
      </c>
      <c r="F13" s="33" t="s">
        <v>175</v>
      </c>
      <c r="G13" s="34">
        <v>9158433537</v>
      </c>
      <c r="H13" s="36">
        <v>13861203</v>
      </c>
      <c r="I13" s="45" t="s">
        <v>86</v>
      </c>
      <c r="J13" s="45" t="s">
        <v>87</v>
      </c>
      <c r="K13" s="43" t="s">
        <v>84</v>
      </c>
      <c r="L13" s="43" t="s">
        <v>85</v>
      </c>
      <c r="M13" s="47" t="s">
        <v>46</v>
      </c>
      <c r="N13" s="43" t="s">
        <v>83</v>
      </c>
      <c r="O13" s="45">
        <v>1</v>
      </c>
      <c r="P13" s="45" t="s">
        <v>88</v>
      </c>
      <c r="Q13" s="45">
        <v>5433728399</v>
      </c>
      <c r="R13" s="45" t="s">
        <v>89</v>
      </c>
      <c r="S13" s="47">
        <v>17.45</v>
      </c>
      <c r="T13" s="47" t="s">
        <v>230</v>
      </c>
      <c r="U13" s="47">
        <v>9158433151</v>
      </c>
      <c r="V13" s="47">
        <v>9158433151</v>
      </c>
    </row>
    <row r="14" spans="1:22" ht="22.5" customHeight="1" x14ac:dyDescent="0.75">
      <c r="A14" s="37">
        <v>13</v>
      </c>
      <c r="B14" s="33" t="s">
        <v>153</v>
      </c>
      <c r="C14" s="33" t="s">
        <v>29</v>
      </c>
      <c r="D14" s="33">
        <v>3710808790</v>
      </c>
      <c r="E14" s="34"/>
      <c r="F14" s="33" t="s">
        <v>176</v>
      </c>
      <c r="G14" s="38" t="s">
        <v>312</v>
      </c>
      <c r="H14" s="38">
        <v>13870219</v>
      </c>
      <c r="I14" s="45" t="s">
        <v>86</v>
      </c>
      <c r="J14" s="45" t="s">
        <v>87</v>
      </c>
      <c r="K14" s="43" t="s">
        <v>84</v>
      </c>
      <c r="L14" s="43" t="s">
        <v>85</v>
      </c>
      <c r="M14" s="45" t="s">
        <v>46</v>
      </c>
      <c r="N14" s="43" t="s">
        <v>83</v>
      </c>
      <c r="O14" s="45">
        <v>1</v>
      </c>
      <c r="P14" s="45" t="s">
        <v>88</v>
      </c>
      <c r="Q14" s="45">
        <v>5433728399</v>
      </c>
      <c r="R14" s="45" t="s">
        <v>89</v>
      </c>
      <c r="S14" s="45">
        <v>12.19</v>
      </c>
      <c r="T14" s="45" t="s">
        <v>329</v>
      </c>
      <c r="U14" s="45">
        <v>9908518337</v>
      </c>
      <c r="V14" s="45">
        <v>9908518337</v>
      </c>
    </row>
    <row r="15" spans="1:22" ht="22.5" customHeight="1" x14ac:dyDescent="0.75">
      <c r="A15" s="35">
        <v>14</v>
      </c>
      <c r="B15" s="33" t="s">
        <v>40</v>
      </c>
      <c r="C15" s="33" t="s">
        <v>164</v>
      </c>
      <c r="D15" s="33">
        <v>3710793981</v>
      </c>
      <c r="E15" s="34"/>
      <c r="F15" s="33" t="s">
        <v>177</v>
      </c>
      <c r="G15" s="36" t="s">
        <v>313</v>
      </c>
      <c r="H15" s="36">
        <v>13861104</v>
      </c>
      <c r="I15" s="45" t="s">
        <v>86</v>
      </c>
      <c r="J15" s="45" t="s">
        <v>87</v>
      </c>
      <c r="K15" s="43" t="s">
        <v>84</v>
      </c>
      <c r="L15" s="43" t="s">
        <v>85</v>
      </c>
      <c r="M15" s="47" t="s">
        <v>46</v>
      </c>
      <c r="N15" s="43" t="s">
        <v>83</v>
      </c>
      <c r="O15" s="45">
        <v>1</v>
      </c>
      <c r="P15" s="45" t="s">
        <v>88</v>
      </c>
      <c r="Q15" s="45">
        <v>5433728399</v>
      </c>
      <c r="R15" s="45" t="s">
        <v>89</v>
      </c>
      <c r="S15" s="47">
        <v>1318</v>
      </c>
      <c r="T15" s="47" t="s">
        <v>330</v>
      </c>
      <c r="U15" s="47">
        <v>9154330286</v>
      </c>
      <c r="V15" s="47">
        <v>9154330286</v>
      </c>
    </row>
    <row r="16" spans="1:22" ht="22.5" customHeight="1" x14ac:dyDescent="0.75">
      <c r="A16" s="37">
        <v>15</v>
      </c>
      <c r="B16" s="33" t="s">
        <v>99</v>
      </c>
      <c r="C16" s="33" t="s">
        <v>31</v>
      </c>
      <c r="D16" s="33">
        <v>3710764718</v>
      </c>
      <c r="E16" s="34"/>
      <c r="F16" s="33" t="s">
        <v>177</v>
      </c>
      <c r="G16" s="38" t="s">
        <v>314</v>
      </c>
      <c r="H16" s="38">
        <v>13860504</v>
      </c>
      <c r="I16" s="45" t="s">
        <v>86</v>
      </c>
      <c r="J16" s="45" t="s">
        <v>87</v>
      </c>
      <c r="K16" s="43" t="s">
        <v>84</v>
      </c>
      <c r="L16" s="43" t="s">
        <v>85</v>
      </c>
      <c r="M16" s="45" t="s">
        <v>46</v>
      </c>
      <c r="N16" s="43" t="s">
        <v>83</v>
      </c>
      <c r="O16" s="45">
        <v>1</v>
      </c>
      <c r="P16" s="45" t="s">
        <v>88</v>
      </c>
      <c r="Q16" s="45">
        <v>5433728399</v>
      </c>
      <c r="R16" s="45" t="s">
        <v>89</v>
      </c>
      <c r="S16" s="45">
        <v>12.77</v>
      </c>
      <c r="T16" s="45" t="s">
        <v>331</v>
      </c>
      <c r="U16" s="45">
        <v>9150338320</v>
      </c>
      <c r="V16" s="45">
        <v>9150338320</v>
      </c>
    </row>
    <row r="17" spans="1:22" ht="22.5" customHeight="1" x14ac:dyDescent="0.75">
      <c r="A17" s="35">
        <v>16</v>
      </c>
      <c r="B17" s="33" t="s">
        <v>154</v>
      </c>
      <c r="C17" s="33" t="s">
        <v>31</v>
      </c>
      <c r="D17" s="33">
        <v>3710772291</v>
      </c>
      <c r="E17" s="34"/>
      <c r="F17" s="33" t="s">
        <v>178</v>
      </c>
      <c r="G17" s="36" t="s">
        <v>315</v>
      </c>
      <c r="H17" s="36">
        <v>13860703</v>
      </c>
      <c r="I17" s="45" t="s">
        <v>86</v>
      </c>
      <c r="J17" s="45" t="s">
        <v>87</v>
      </c>
      <c r="K17" s="43" t="s">
        <v>84</v>
      </c>
      <c r="L17" s="43" t="s">
        <v>85</v>
      </c>
      <c r="M17" s="47" t="s">
        <v>46</v>
      </c>
      <c r="N17" s="43" t="s">
        <v>83</v>
      </c>
      <c r="O17" s="45">
        <v>1</v>
      </c>
      <c r="P17" s="45" t="s">
        <v>88</v>
      </c>
      <c r="Q17" s="45">
        <v>5433728399</v>
      </c>
      <c r="R17" s="45" t="s">
        <v>89</v>
      </c>
      <c r="S17" s="47">
        <v>11</v>
      </c>
      <c r="T17" s="47" t="s">
        <v>264</v>
      </c>
      <c r="U17" s="47">
        <v>9151493581</v>
      </c>
      <c r="V17" s="47">
        <v>9151493581</v>
      </c>
    </row>
    <row r="18" spans="1:22" ht="22.5" customHeight="1" x14ac:dyDescent="0.75">
      <c r="A18" s="37">
        <v>17</v>
      </c>
      <c r="B18" s="33" t="s">
        <v>155</v>
      </c>
      <c r="C18" s="33" t="s">
        <v>31</v>
      </c>
      <c r="D18" s="33">
        <v>3710779170</v>
      </c>
      <c r="E18" s="34"/>
      <c r="F18" s="33" t="s">
        <v>179</v>
      </c>
      <c r="G18" s="38" t="s">
        <v>316</v>
      </c>
      <c r="H18" s="38">
        <v>13860711</v>
      </c>
      <c r="I18" s="45" t="s">
        <v>86</v>
      </c>
      <c r="J18" s="45" t="s">
        <v>87</v>
      </c>
      <c r="K18" s="43" t="s">
        <v>84</v>
      </c>
      <c r="L18" s="43" t="s">
        <v>85</v>
      </c>
      <c r="M18" s="45" t="s">
        <v>46</v>
      </c>
      <c r="N18" s="43" t="s">
        <v>83</v>
      </c>
      <c r="O18" s="45">
        <v>1</v>
      </c>
      <c r="P18" s="45" t="s">
        <v>88</v>
      </c>
      <c r="Q18" s="45">
        <v>5433728399</v>
      </c>
      <c r="R18" s="45" t="s">
        <v>89</v>
      </c>
      <c r="S18" s="45">
        <v>11.43</v>
      </c>
      <c r="T18" s="45" t="s">
        <v>285</v>
      </c>
      <c r="U18" s="45">
        <v>9157437294</v>
      </c>
      <c r="V18" s="45">
        <v>9157437294</v>
      </c>
    </row>
    <row r="19" spans="1:22" ht="22.5" customHeight="1" x14ac:dyDescent="0.75">
      <c r="A19" s="35">
        <v>18</v>
      </c>
      <c r="B19" s="33" t="s">
        <v>70</v>
      </c>
      <c r="C19" s="33" t="s">
        <v>31</v>
      </c>
      <c r="D19" s="33">
        <v>3710790484</v>
      </c>
      <c r="E19" s="34"/>
      <c r="F19" s="33" t="s">
        <v>180</v>
      </c>
      <c r="G19" s="36" t="s">
        <v>231</v>
      </c>
      <c r="H19" s="36">
        <v>13861024</v>
      </c>
      <c r="I19" s="45" t="s">
        <v>86</v>
      </c>
      <c r="J19" s="45" t="s">
        <v>87</v>
      </c>
      <c r="K19" s="43" t="s">
        <v>84</v>
      </c>
      <c r="L19" s="43" t="s">
        <v>85</v>
      </c>
      <c r="M19" s="47" t="s">
        <v>46</v>
      </c>
      <c r="N19" s="43" t="s">
        <v>83</v>
      </c>
      <c r="O19" s="45">
        <v>1</v>
      </c>
      <c r="P19" s="45" t="s">
        <v>88</v>
      </c>
      <c r="Q19" s="45">
        <v>5433728399</v>
      </c>
      <c r="R19" s="45" t="s">
        <v>89</v>
      </c>
      <c r="S19" s="47">
        <v>13.63</v>
      </c>
      <c r="T19" s="47" t="s">
        <v>232</v>
      </c>
      <c r="U19" s="47">
        <v>9390992735</v>
      </c>
      <c r="V19" s="47">
        <v>9390992735</v>
      </c>
    </row>
    <row r="20" spans="1:22" ht="22.5" customHeight="1" x14ac:dyDescent="0.75">
      <c r="A20" s="37">
        <v>19</v>
      </c>
      <c r="B20" s="33" t="s">
        <v>33</v>
      </c>
      <c r="C20" s="33" t="s">
        <v>31</v>
      </c>
      <c r="D20" s="33">
        <v>3710808227</v>
      </c>
      <c r="E20" s="34"/>
      <c r="F20" s="33" t="s">
        <v>43</v>
      </c>
      <c r="G20" s="38" t="s">
        <v>317</v>
      </c>
      <c r="H20" s="38">
        <v>13870222</v>
      </c>
      <c r="I20" s="45" t="s">
        <v>86</v>
      </c>
      <c r="J20" s="45" t="s">
        <v>87</v>
      </c>
      <c r="K20" s="43" t="s">
        <v>84</v>
      </c>
      <c r="L20" s="43" t="s">
        <v>85</v>
      </c>
      <c r="M20" s="45" t="s">
        <v>46</v>
      </c>
      <c r="N20" s="43" t="s">
        <v>83</v>
      </c>
      <c r="O20" s="45">
        <v>1</v>
      </c>
      <c r="P20" s="45" t="s">
        <v>88</v>
      </c>
      <c r="Q20" s="45">
        <v>5433728399</v>
      </c>
      <c r="R20" s="45" t="s">
        <v>89</v>
      </c>
      <c r="S20" s="45">
        <v>10.39</v>
      </c>
      <c r="T20" s="45" t="s">
        <v>332</v>
      </c>
      <c r="U20" s="45">
        <v>9157437093</v>
      </c>
      <c r="V20" s="45">
        <v>9157437093</v>
      </c>
    </row>
    <row r="21" spans="1:22" ht="22.5" customHeight="1" x14ac:dyDescent="0.75">
      <c r="A21" s="35">
        <v>20</v>
      </c>
      <c r="B21" s="33" t="s">
        <v>156</v>
      </c>
      <c r="C21" s="33" t="s">
        <v>31</v>
      </c>
      <c r="D21" s="33">
        <v>3710825245</v>
      </c>
      <c r="E21" s="34"/>
      <c r="F21" s="33" t="s">
        <v>181</v>
      </c>
      <c r="G21" s="36" t="s">
        <v>318</v>
      </c>
      <c r="H21" s="36">
        <v>13870617</v>
      </c>
      <c r="I21" s="45" t="s">
        <v>86</v>
      </c>
      <c r="J21" s="45" t="s">
        <v>87</v>
      </c>
      <c r="K21" s="43" t="s">
        <v>84</v>
      </c>
      <c r="L21" s="43" t="s">
        <v>85</v>
      </c>
      <c r="M21" s="47" t="s">
        <v>46</v>
      </c>
      <c r="N21" s="43" t="s">
        <v>83</v>
      </c>
      <c r="O21" s="45">
        <v>1</v>
      </c>
      <c r="P21" s="45" t="s">
        <v>88</v>
      </c>
      <c r="Q21" s="45">
        <v>5433728399</v>
      </c>
      <c r="R21" s="45" t="s">
        <v>89</v>
      </c>
      <c r="S21" s="47">
        <v>13.31</v>
      </c>
      <c r="T21" s="47" t="s">
        <v>246</v>
      </c>
      <c r="U21" s="47">
        <v>9156363819</v>
      </c>
      <c r="V21" s="47">
        <v>9156363819</v>
      </c>
    </row>
    <row r="22" spans="1:22" ht="22.5" customHeight="1" x14ac:dyDescent="0.75">
      <c r="A22" s="37">
        <v>21</v>
      </c>
      <c r="B22" s="33" t="s">
        <v>79</v>
      </c>
      <c r="C22" s="33" t="s">
        <v>31</v>
      </c>
      <c r="D22" s="33">
        <v>3710787939</v>
      </c>
      <c r="E22" s="34"/>
      <c r="F22" s="33" t="s">
        <v>172</v>
      </c>
      <c r="G22" s="38" t="s">
        <v>319</v>
      </c>
      <c r="H22" s="38">
        <v>13860924</v>
      </c>
      <c r="I22" s="45" t="s">
        <v>86</v>
      </c>
      <c r="J22" s="45" t="s">
        <v>87</v>
      </c>
      <c r="K22" s="43" t="s">
        <v>84</v>
      </c>
      <c r="L22" s="43" t="s">
        <v>85</v>
      </c>
      <c r="M22" s="45" t="s">
        <v>46</v>
      </c>
      <c r="N22" s="43" t="s">
        <v>83</v>
      </c>
      <c r="O22" s="45">
        <v>1</v>
      </c>
      <c r="P22" s="45" t="s">
        <v>88</v>
      </c>
      <c r="Q22" s="45">
        <v>5433728399</v>
      </c>
      <c r="R22" s="45" t="s">
        <v>89</v>
      </c>
      <c r="S22" s="45">
        <v>13.45</v>
      </c>
      <c r="T22" s="45" t="s">
        <v>331</v>
      </c>
      <c r="U22" s="45">
        <v>9150230624</v>
      </c>
      <c r="V22" s="45">
        <v>9150230624</v>
      </c>
    </row>
    <row r="23" spans="1:22" ht="22.5" customHeight="1" x14ac:dyDescent="0.75">
      <c r="A23" s="35">
        <v>22</v>
      </c>
      <c r="B23" s="33" t="s">
        <v>43</v>
      </c>
      <c r="C23" s="33" t="s">
        <v>34</v>
      </c>
      <c r="D23" s="33">
        <v>3710796024</v>
      </c>
      <c r="E23" s="34"/>
      <c r="F23" s="33" t="s">
        <v>35</v>
      </c>
      <c r="G23" s="36" t="s">
        <v>320</v>
      </c>
      <c r="H23" s="36">
        <v>13861119</v>
      </c>
      <c r="I23" s="45" t="s">
        <v>86</v>
      </c>
      <c r="J23" s="45" t="s">
        <v>87</v>
      </c>
      <c r="K23" s="43" t="s">
        <v>84</v>
      </c>
      <c r="L23" s="43" t="s">
        <v>85</v>
      </c>
      <c r="M23" s="47" t="s">
        <v>46</v>
      </c>
      <c r="N23" s="43" t="s">
        <v>83</v>
      </c>
      <c r="O23" s="45">
        <v>1</v>
      </c>
      <c r="P23" s="45" t="s">
        <v>88</v>
      </c>
      <c r="Q23" s="45">
        <v>5433728399</v>
      </c>
      <c r="R23" s="45" t="s">
        <v>89</v>
      </c>
      <c r="S23" s="47">
        <v>15.68</v>
      </c>
      <c r="T23" s="47" t="s">
        <v>333</v>
      </c>
      <c r="U23" s="47">
        <v>9154345897</v>
      </c>
      <c r="V23" s="47">
        <v>9154345897</v>
      </c>
    </row>
    <row r="24" spans="1:22" ht="22.5" customHeight="1" x14ac:dyDescent="0.75">
      <c r="A24" s="37">
        <v>23</v>
      </c>
      <c r="B24" s="33" t="s">
        <v>40</v>
      </c>
      <c r="C24" s="33" t="s">
        <v>165</v>
      </c>
      <c r="D24" s="33">
        <v>3710762510</v>
      </c>
      <c r="E24" s="34"/>
      <c r="F24" s="33" t="s">
        <v>35</v>
      </c>
      <c r="G24" s="38" t="s">
        <v>321</v>
      </c>
      <c r="H24" s="38">
        <v>13860418</v>
      </c>
      <c r="I24" s="45" t="s">
        <v>86</v>
      </c>
      <c r="J24" s="45" t="s">
        <v>87</v>
      </c>
      <c r="K24" s="43" t="s">
        <v>84</v>
      </c>
      <c r="L24" s="43" t="s">
        <v>85</v>
      </c>
      <c r="M24" s="45" t="s">
        <v>46</v>
      </c>
      <c r="N24" s="43" t="s">
        <v>83</v>
      </c>
      <c r="O24" s="45">
        <v>1</v>
      </c>
      <c r="P24" s="45" t="s">
        <v>88</v>
      </c>
      <c r="Q24" s="45">
        <v>5433728399</v>
      </c>
      <c r="R24" s="45" t="s">
        <v>89</v>
      </c>
      <c r="S24" s="45">
        <v>10.71</v>
      </c>
      <c r="T24" s="45" t="s">
        <v>334</v>
      </c>
      <c r="U24" s="45">
        <v>9966408515</v>
      </c>
      <c r="V24" s="45">
        <v>9966408515</v>
      </c>
    </row>
    <row r="25" spans="1:22" ht="22.5" customHeight="1" x14ac:dyDescent="0.75">
      <c r="A25" s="35">
        <v>24</v>
      </c>
      <c r="B25" s="33" t="s">
        <v>157</v>
      </c>
      <c r="C25" s="33" t="s">
        <v>165</v>
      </c>
      <c r="D25" s="33">
        <v>3710793939</v>
      </c>
      <c r="E25" s="34"/>
      <c r="F25" s="33" t="s">
        <v>171</v>
      </c>
      <c r="G25" s="36" t="s">
        <v>322</v>
      </c>
      <c r="H25" s="36">
        <v>13861120</v>
      </c>
      <c r="I25" s="45" t="s">
        <v>86</v>
      </c>
      <c r="J25" s="45" t="s">
        <v>87</v>
      </c>
      <c r="K25" s="43" t="s">
        <v>84</v>
      </c>
      <c r="L25" s="43" t="s">
        <v>85</v>
      </c>
      <c r="M25" s="47" t="s">
        <v>46</v>
      </c>
      <c r="N25" s="43" t="s">
        <v>83</v>
      </c>
      <c r="O25" s="45">
        <v>1</v>
      </c>
      <c r="P25" s="45" t="s">
        <v>88</v>
      </c>
      <c r="Q25" s="45">
        <v>5433728399</v>
      </c>
      <c r="R25" s="45" t="s">
        <v>89</v>
      </c>
      <c r="S25" s="47">
        <v>14.91</v>
      </c>
      <c r="T25" s="47" t="s">
        <v>335</v>
      </c>
      <c r="U25" s="47">
        <v>9030312558</v>
      </c>
      <c r="V25" s="47">
        <v>9030312558</v>
      </c>
    </row>
    <row r="26" spans="1:22" ht="22.5" customHeight="1" x14ac:dyDescent="0.75">
      <c r="A26" s="37">
        <v>25</v>
      </c>
      <c r="B26" s="33" t="s">
        <v>77</v>
      </c>
      <c r="C26" s="33" t="s">
        <v>38</v>
      </c>
      <c r="D26" s="33">
        <v>3710826233</v>
      </c>
      <c r="E26" s="34"/>
      <c r="F26" s="33" t="s">
        <v>182</v>
      </c>
      <c r="G26" s="38" t="s">
        <v>323</v>
      </c>
      <c r="H26" s="38">
        <v>13870603</v>
      </c>
      <c r="I26" s="45" t="s">
        <v>86</v>
      </c>
      <c r="J26" s="45" t="s">
        <v>87</v>
      </c>
      <c r="K26" s="43" t="s">
        <v>84</v>
      </c>
      <c r="L26" s="43" t="s">
        <v>85</v>
      </c>
      <c r="M26" s="45" t="s">
        <v>46</v>
      </c>
      <c r="N26" s="43" t="s">
        <v>83</v>
      </c>
      <c r="O26" s="45">
        <v>1</v>
      </c>
      <c r="P26" s="45" t="s">
        <v>88</v>
      </c>
      <c r="Q26" s="45">
        <v>5433728399</v>
      </c>
      <c r="R26" s="45" t="s">
        <v>89</v>
      </c>
      <c r="S26" s="45">
        <v>12.57</v>
      </c>
      <c r="T26" s="45" t="s">
        <v>336</v>
      </c>
      <c r="U26" s="45">
        <v>9939152751</v>
      </c>
      <c r="V26" s="45">
        <v>9939152751</v>
      </c>
    </row>
    <row r="27" spans="1:22" ht="22.5" customHeight="1" x14ac:dyDescent="0.75">
      <c r="A27" s="35">
        <v>26</v>
      </c>
      <c r="B27" s="33" t="s">
        <v>76</v>
      </c>
      <c r="C27" s="33" t="s">
        <v>39</v>
      </c>
      <c r="D27" s="33">
        <v>3710795249</v>
      </c>
      <c r="E27" s="34"/>
      <c r="F27" s="33" t="s">
        <v>107</v>
      </c>
      <c r="G27" s="38" t="s">
        <v>324</v>
      </c>
      <c r="H27" s="38">
        <v>13860927</v>
      </c>
      <c r="I27" s="45" t="s">
        <v>86</v>
      </c>
      <c r="J27" s="45" t="s">
        <v>87</v>
      </c>
      <c r="K27" s="43" t="s">
        <v>84</v>
      </c>
      <c r="L27" s="43" t="s">
        <v>85</v>
      </c>
      <c r="M27" s="45" t="s">
        <v>46</v>
      </c>
      <c r="N27" s="43" t="s">
        <v>83</v>
      </c>
      <c r="O27" s="45">
        <v>1</v>
      </c>
      <c r="P27" s="45" t="s">
        <v>88</v>
      </c>
      <c r="Q27" s="45">
        <v>5433728399</v>
      </c>
      <c r="R27" s="45" t="s">
        <v>89</v>
      </c>
      <c r="S27" s="45">
        <v>14.11</v>
      </c>
      <c r="T27" s="45" t="s">
        <v>337</v>
      </c>
      <c r="U27" s="45">
        <v>9150606589</v>
      </c>
      <c r="V27" s="45">
        <v>9150606589</v>
      </c>
    </row>
    <row r="28" spans="1:22" ht="22.5" customHeight="1" x14ac:dyDescent="0.75">
      <c r="A28" s="37">
        <v>27</v>
      </c>
      <c r="B28" s="33" t="s">
        <v>25</v>
      </c>
      <c r="C28" s="33" t="s">
        <v>39</v>
      </c>
      <c r="D28" s="33">
        <v>3710799287</v>
      </c>
      <c r="E28" s="34"/>
      <c r="F28" s="33" t="s">
        <v>138</v>
      </c>
      <c r="G28" s="36" t="s">
        <v>237</v>
      </c>
      <c r="H28" s="36">
        <v>13861225</v>
      </c>
      <c r="I28" s="45" t="s">
        <v>86</v>
      </c>
      <c r="J28" s="45" t="s">
        <v>87</v>
      </c>
      <c r="K28" s="43" t="s">
        <v>84</v>
      </c>
      <c r="L28" s="43" t="s">
        <v>85</v>
      </c>
      <c r="M28" s="47" t="s">
        <v>46</v>
      </c>
      <c r="N28" s="43" t="s">
        <v>83</v>
      </c>
      <c r="O28" s="45">
        <v>1</v>
      </c>
      <c r="P28" s="45" t="s">
        <v>88</v>
      </c>
      <c r="Q28" s="45">
        <v>5433728399</v>
      </c>
      <c r="R28" s="45" t="s">
        <v>89</v>
      </c>
      <c r="S28" s="47">
        <v>13.41</v>
      </c>
      <c r="T28" s="47" t="s">
        <v>238</v>
      </c>
      <c r="U28" s="47">
        <v>9156372158</v>
      </c>
      <c r="V28" s="47">
        <v>9156372158</v>
      </c>
    </row>
    <row r="29" spans="1:22" ht="22.5" customHeight="1" x14ac:dyDescent="0.75">
      <c r="A29" s="35">
        <v>28</v>
      </c>
      <c r="B29" s="33" t="s">
        <v>158</v>
      </c>
      <c r="C29" s="33" t="s">
        <v>41</v>
      </c>
      <c r="D29" s="33">
        <v>3710805503</v>
      </c>
      <c r="E29" s="34"/>
      <c r="F29" s="33" t="s">
        <v>183</v>
      </c>
      <c r="G29" s="38" t="s">
        <v>325</v>
      </c>
      <c r="H29" s="38">
        <v>13870208</v>
      </c>
      <c r="I29" s="45" t="s">
        <v>86</v>
      </c>
      <c r="J29" s="45" t="s">
        <v>87</v>
      </c>
      <c r="K29" s="43" t="s">
        <v>84</v>
      </c>
      <c r="L29" s="43" t="s">
        <v>85</v>
      </c>
      <c r="M29" s="45" t="s">
        <v>46</v>
      </c>
      <c r="N29" s="43" t="s">
        <v>83</v>
      </c>
      <c r="O29" s="45">
        <v>1</v>
      </c>
      <c r="P29" s="45" t="s">
        <v>88</v>
      </c>
      <c r="Q29" s="45">
        <v>5433728399</v>
      </c>
      <c r="R29" s="45" t="s">
        <v>89</v>
      </c>
      <c r="S29" s="45">
        <v>12.04</v>
      </c>
      <c r="T29" s="45" t="s">
        <v>338</v>
      </c>
      <c r="U29" s="45">
        <v>9156776731</v>
      </c>
      <c r="V29" s="45">
        <v>9156776731</v>
      </c>
    </row>
    <row r="30" spans="1:22" ht="22.5" customHeight="1" x14ac:dyDescent="0.75">
      <c r="A30" s="37">
        <v>29</v>
      </c>
      <c r="B30" s="33" t="s">
        <v>159</v>
      </c>
      <c r="C30" s="33" t="s">
        <v>166</v>
      </c>
      <c r="D30" s="33">
        <v>3710822361</v>
      </c>
      <c r="E30" s="34"/>
      <c r="F30" s="33" t="s">
        <v>77</v>
      </c>
      <c r="G30" s="38" t="s">
        <v>226</v>
      </c>
      <c r="H30" s="38">
        <v>13870609</v>
      </c>
      <c r="I30" s="45" t="s">
        <v>86</v>
      </c>
      <c r="J30" s="45" t="s">
        <v>87</v>
      </c>
      <c r="K30" s="43" t="s">
        <v>84</v>
      </c>
      <c r="L30" s="43" t="s">
        <v>85</v>
      </c>
      <c r="M30" s="45" t="s">
        <v>46</v>
      </c>
      <c r="N30" s="43" t="s">
        <v>83</v>
      </c>
      <c r="O30" s="45">
        <v>1</v>
      </c>
      <c r="P30" s="45" t="s">
        <v>88</v>
      </c>
      <c r="Q30" s="45">
        <v>5433728399</v>
      </c>
      <c r="R30" s="45" t="s">
        <v>89</v>
      </c>
      <c r="S30" s="45">
        <v>11.7</v>
      </c>
      <c r="T30" s="45" t="s">
        <v>227</v>
      </c>
      <c r="U30" s="45">
        <v>9151956681</v>
      </c>
      <c r="V30" s="45">
        <v>9151956681</v>
      </c>
    </row>
    <row r="31" spans="1:22" ht="22.5" customHeight="1" x14ac:dyDescent="0.75">
      <c r="A31" s="35">
        <v>30</v>
      </c>
      <c r="B31" s="33" t="s">
        <v>121</v>
      </c>
      <c r="C31" s="33" t="s">
        <v>167</v>
      </c>
      <c r="D31" s="33">
        <v>3710776856</v>
      </c>
      <c r="E31" s="34" t="str">
        <f>IF(
 MOD(SUMPRODUCT(MID(TEXT(D31,"0000000000"),{1,2,3,4,5,6,7,8,9},1)*{10,9,8,7,6,5,4,3,2}),11)
 =
 IF(RIGHT(TEXT(D31,"0000000000"),1)&lt;2, RIGHT(TEXT(D31,"0000000000"),1), 11-RIGHT(TEXT(D31,"0000000000"),1)),
"درست","اشتباه")</f>
        <v>درست</v>
      </c>
      <c r="F31" s="33" t="s">
        <v>183</v>
      </c>
      <c r="G31" s="38" t="s">
        <v>371</v>
      </c>
      <c r="H31" s="38">
        <v>13860806</v>
      </c>
      <c r="I31" s="45" t="s">
        <v>86</v>
      </c>
      <c r="J31" s="45" t="s">
        <v>87</v>
      </c>
      <c r="K31" s="43" t="s">
        <v>84</v>
      </c>
      <c r="L31" s="43" t="s">
        <v>85</v>
      </c>
      <c r="M31" s="47" t="s">
        <v>46</v>
      </c>
      <c r="N31" s="43" t="s">
        <v>83</v>
      </c>
      <c r="O31" s="45">
        <v>1</v>
      </c>
      <c r="P31" s="45" t="s">
        <v>88</v>
      </c>
      <c r="Q31" s="45">
        <v>5433728399</v>
      </c>
      <c r="R31" s="45" t="s">
        <v>89</v>
      </c>
      <c r="S31" s="45">
        <v>15.11</v>
      </c>
      <c r="T31" s="45" t="s">
        <v>326</v>
      </c>
      <c r="U31" s="45">
        <v>9157480650</v>
      </c>
      <c r="V31" s="45">
        <v>9157480650</v>
      </c>
    </row>
    <row r="32" spans="1:22" ht="22.5" customHeight="1" x14ac:dyDescent="0.75">
      <c r="A32" s="37">
        <v>31</v>
      </c>
      <c r="B32" s="33" t="s">
        <v>138</v>
      </c>
      <c r="C32" s="33" t="s">
        <v>132</v>
      </c>
      <c r="D32" s="33">
        <v>3710765064</v>
      </c>
      <c r="E32" s="34" t="str">
        <f>IF(
 MOD(SUMPRODUCT(MID(TEXT(D32,"0000000000"),{1,2,3,4,5,6,7,8,9},1)*{10,9,8,7,6,5,4,3,2}),11)
 =
 IF(RIGHT(TEXT(D32,"0000000000"),1)&lt;2, RIGHT(TEXT(D32,"0000000000"),1), 11-RIGHT(TEXT(D32,"0000000000"),1)),
"درست","اشتباه")</f>
        <v>درست</v>
      </c>
      <c r="F32" s="33" t="s">
        <v>184</v>
      </c>
      <c r="G32" s="36" t="s">
        <v>228</v>
      </c>
      <c r="H32" s="36">
        <v>13860501</v>
      </c>
      <c r="I32" s="45" t="s">
        <v>86</v>
      </c>
      <c r="J32" s="45" t="s">
        <v>87</v>
      </c>
      <c r="K32" s="43" t="s">
        <v>84</v>
      </c>
      <c r="L32" s="43" t="s">
        <v>85</v>
      </c>
      <c r="M32" s="45" t="s">
        <v>46</v>
      </c>
      <c r="N32" s="43" t="s">
        <v>83</v>
      </c>
      <c r="O32" s="45">
        <v>1</v>
      </c>
      <c r="P32" s="45" t="s">
        <v>88</v>
      </c>
      <c r="Q32" s="45">
        <v>5433728399</v>
      </c>
      <c r="R32" s="45" t="s">
        <v>89</v>
      </c>
      <c r="S32" s="47">
        <v>13.14</v>
      </c>
      <c r="T32" s="47" t="s">
        <v>229</v>
      </c>
      <c r="U32" s="47">
        <v>9155492778</v>
      </c>
      <c r="V32" s="47">
        <v>9155492778</v>
      </c>
    </row>
    <row r="33" spans="1:22" ht="22.5" customHeight="1" x14ac:dyDescent="0.7">
      <c r="A33" s="35">
        <v>32</v>
      </c>
    </row>
    <row r="34" spans="1:22" ht="22.5" customHeight="1" x14ac:dyDescent="0.7">
      <c r="A34" s="37">
        <v>33</v>
      </c>
    </row>
    <row r="35" spans="1:22" ht="22.5" customHeight="1" x14ac:dyDescent="0.7">
      <c r="A35" s="35">
        <v>34</v>
      </c>
    </row>
    <row r="36" spans="1:22" ht="22.5" customHeight="1" x14ac:dyDescent="0.7">
      <c r="A36" s="37">
        <v>35</v>
      </c>
    </row>
    <row r="37" spans="1:22" ht="22.5" customHeight="1" x14ac:dyDescent="0.7">
      <c r="A37" s="35">
        <v>36</v>
      </c>
    </row>
    <row r="38" spans="1:22" ht="22.5" customHeight="1" x14ac:dyDescent="0.7">
      <c r="A38" s="37">
        <v>37</v>
      </c>
    </row>
    <row r="39" spans="1:22" ht="22.5" customHeight="1" x14ac:dyDescent="0.7">
      <c r="A39" s="35">
        <v>38</v>
      </c>
    </row>
    <row r="40" spans="1:22" customFormat="1" ht="13.5" hidden="1" x14ac:dyDescent="0.35">
      <c r="A40" s="14">
        <v>39</v>
      </c>
      <c r="B40" s="1"/>
      <c r="C40" s="1"/>
      <c r="D40" s="2"/>
      <c r="E40" s="8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1"/>
      <c r="G40" s="2"/>
      <c r="H40" s="2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3"/>
    </row>
    <row r="41" spans="1:22" customFormat="1" ht="13.5" hidden="1" x14ac:dyDescent="0.35">
      <c r="A41" s="15">
        <v>40</v>
      </c>
      <c r="B41" s="4"/>
      <c r="C41" s="4"/>
      <c r="D41" s="5"/>
      <c r="E41" s="8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4"/>
      <c r="G41" s="5"/>
      <c r="H41" s="5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6"/>
    </row>
    <row r="42" spans="1:22" customFormat="1" ht="13.5" hidden="1" x14ac:dyDescent="0.35">
      <c r="A42" s="14">
        <v>41</v>
      </c>
      <c r="B42" s="1"/>
      <c r="C42" s="1"/>
      <c r="D42" s="2"/>
      <c r="E42" s="8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1"/>
      <c r="G42" s="2"/>
      <c r="H42" s="2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3"/>
    </row>
    <row r="43" spans="1:22" customFormat="1" ht="13.5" hidden="1" x14ac:dyDescent="0.35">
      <c r="A43" s="15">
        <v>42</v>
      </c>
      <c r="B43" s="4"/>
      <c r="C43" s="4"/>
      <c r="D43" s="5"/>
      <c r="E43" s="8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"/>
      <c r="G43" s="5"/>
      <c r="H43" s="5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6"/>
    </row>
    <row r="44" spans="1:22" customFormat="1" ht="13.5" hidden="1" x14ac:dyDescent="0.35">
      <c r="A44" s="14">
        <v>43</v>
      </c>
      <c r="B44" s="1"/>
      <c r="C44" s="1"/>
      <c r="D44" s="2"/>
      <c r="E44" s="8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1"/>
      <c r="G44" s="2"/>
      <c r="H44" s="2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3"/>
    </row>
    <row r="45" spans="1:22" customFormat="1" ht="13.5" hidden="1" x14ac:dyDescent="0.35">
      <c r="A45" s="15">
        <v>44</v>
      </c>
      <c r="B45" s="4"/>
      <c r="C45" s="4"/>
      <c r="D45" s="5"/>
      <c r="E45" s="8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"/>
      <c r="G45" s="5"/>
      <c r="H45" s="5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6"/>
    </row>
    <row r="46" spans="1:22" customFormat="1" ht="13.5" hidden="1" x14ac:dyDescent="0.35">
      <c r="A46" s="14">
        <v>45</v>
      </c>
      <c r="B46" s="1"/>
      <c r="C46" s="1"/>
      <c r="D46" s="2"/>
      <c r="E46" s="8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1"/>
      <c r="G46" s="2"/>
      <c r="H46" s="2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3"/>
    </row>
    <row r="47" spans="1:22" customFormat="1" ht="13.5" hidden="1" x14ac:dyDescent="0.35">
      <c r="A47" s="15">
        <v>46</v>
      </c>
      <c r="B47" s="4"/>
      <c r="C47" s="4"/>
      <c r="D47" s="5"/>
      <c r="E47" s="8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"/>
      <c r="G47" s="5"/>
      <c r="H47" s="5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6"/>
    </row>
    <row r="48" spans="1:22" customFormat="1" ht="13.5" hidden="1" x14ac:dyDescent="0.35">
      <c r="A48" s="14">
        <v>47</v>
      </c>
      <c r="B48" s="1"/>
      <c r="C48" s="1"/>
      <c r="D48" s="2"/>
      <c r="E48" s="8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1"/>
      <c r="G48" s="2"/>
      <c r="H48" s="2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3"/>
    </row>
    <row r="49" spans="1:22" customFormat="1" ht="13.5" hidden="1" x14ac:dyDescent="0.35">
      <c r="A49" s="15">
        <v>48</v>
      </c>
      <c r="B49" s="4"/>
      <c r="C49" s="4"/>
      <c r="D49" s="5"/>
      <c r="E49" s="8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"/>
      <c r="G49" s="5"/>
      <c r="H49" s="5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6"/>
    </row>
    <row r="50" spans="1:22" customFormat="1" ht="13.5" hidden="1" x14ac:dyDescent="0.35">
      <c r="A50" s="14">
        <v>49</v>
      </c>
      <c r="B50" s="1"/>
      <c r="C50" s="1"/>
      <c r="D50" s="2"/>
      <c r="E50" s="8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1"/>
      <c r="G50" s="2"/>
      <c r="H50" s="2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3"/>
    </row>
    <row r="51" spans="1:22" customFormat="1" ht="13.5" hidden="1" x14ac:dyDescent="0.35">
      <c r="A51" s="15">
        <v>50</v>
      </c>
      <c r="B51" s="4"/>
      <c r="C51" s="4"/>
      <c r="D51" s="5"/>
      <c r="E51" s="8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"/>
      <c r="G51" s="5"/>
      <c r="H51" s="5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6"/>
    </row>
    <row r="52" spans="1:22" customFormat="1" ht="13.5" hidden="1" x14ac:dyDescent="0.35">
      <c r="A52" s="14">
        <v>51</v>
      </c>
      <c r="B52" s="1"/>
      <c r="C52" s="1"/>
      <c r="D52" s="2"/>
      <c r="E52" s="8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1"/>
      <c r="G52" s="2"/>
      <c r="H52" s="2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3"/>
    </row>
    <row r="53" spans="1:22" customFormat="1" ht="13.5" hidden="1" x14ac:dyDescent="0.35">
      <c r="A53" s="15">
        <v>52</v>
      </c>
      <c r="B53" s="4"/>
      <c r="C53" s="4"/>
      <c r="D53" s="5"/>
      <c r="E53" s="8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"/>
      <c r="G53" s="5"/>
      <c r="H53" s="5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6"/>
    </row>
    <row r="54" spans="1:22" customFormat="1" ht="13.5" hidden="1" x14ac:dyDescent="0.35">
      <c r="A54" s="14">
        <v>53</v>
      </c>
      <c r="B54" s="1"/>
      <c r="C54" s="1"/>
      <c r="D54" s="2"/>
      <c r="E54" s="8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1"/>
      <c r="G54" s="2"/>
      <c r="H54" s="2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3"/>
    </row>
    <row r="55" spans="1:22" customFormat="1" ht="13.5" hidden="1" x14ac:dyDescent="0.35">
      <c r="A55" s="15">
        <v>54</v>
      </c>
      <c r="B55" s="4"/>
      <c r="C55" s="4"/>
      <c r="D55" s="5"/>
      <c r="E55" s="8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"/>
      <c r="G55" s="5"/>
      <c r="H55" s="5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6"/>
    </row>
    <row r="56" spans="1:22" customFormat="1" ht="13.5" hidden="1" x14ac:dyDescent="0.35">
      <c r="A56" s="14">
        <v>55</v>
      </c>
      <c r="B56" s="1"/>
      <c r="C56" s="1"/>
      <c r="D56" s="2"/>
      <c r="E56" s="8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1"/>
      <c r="G56" s="2"/>
      <c r="H56" s="2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3"/>
    </row>
    <row r="57" spans="1:22" customFormat="1" ht="13.5" hidden="1" x14ac:dyDescent="0.35">
      <c r="A57" s="15">
        <v>56</v>
      </c>
      <c r="B57" s="4"/>
      <c r="C57" s="4"/>
      <c r="D57" s="5"/>
      <c r="E57" s="8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"/>
      <c r="G57" s="5"/>
      <c r="H57" s="5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6"/>
    </row>
    <row r="58" spans="1:22" customFormat="1" ht="13.5" hidden="1" x14ac:dyDescent="0.35">
      <c r="A58" s="14">
        <v>57</v>
      </c>
      <c r="B58" s="1"/>
      <c r="C58" s="1"/>
      <c r="D58" s="2"/>
      <c r="E58" s="8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1"/>
      <c r="G58" s="2"/>
      <c r="H58" s="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3"/>
    </row>
    <row r="59" spans="1:22" customFormat="1" ht="13.5" hidden="1" x14ac:dyDescent="0.35">
      <c r="A59" s="15">
        <v>58</v>
      </c>
      <c r="B59" s="4"/>
      <c r="C59" s="4"/>
      <c r="D59" s="5"/>
      <c r="E59" s="8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"/>
      <c r="G59" s="5"/>
      <c r="H59" s="5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6"/>
    </row>
    <row r="60" spans="1:22" customFormat="1" ht="13.5" hidden="1" x14ac:dyDescent="0.35">
      <c r="A60" s="14">
        <v>59</v>
      </c>
      <c r="B60" s="1"/>
      <c r="C60" s="1"/>
      <c r="D60" s="2"/>
      <c r="E60" s="8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1"/>
      <c r="G60" s="2"/>
      <c r="H60" s="2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3"/>
    </row>
    <row r="61" spans="1:22" customFormat="1" ht="13.5" hidden="1" x14ac:dyDescent="0.35">
      <c r="A61" s="15">
        <v>60</v>
      </c>
      <c r="B61" s="4"/>
      <c r="C61" s="4"/>
      <c r="D61" s="5"/>
      <c r="E61" s="8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"/>
      <c r="G61" s="5"/>
      <c r="H61" s="5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6"/>
    </row>
    <row r="62" spans="1:22" customFormat="1" ht="13.5" hidden="1" x14ac:dyDescent="0.35">
      <c r="A62" s="14">
        <v>61</v>
      </c>
      <c r="B62" s="1"/>
      <c r="C62" s="1"/>
      <c r="D62" s="2"/>
      <c r="E62" s="8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1"/>
      <c r="G62" s="2"/>
      <c r="H62" s="2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3"/>
    </row>
    <row r="63" spans="1:22" customFormat="1" ht="13.5" hidden="1" x14ac:dyDescent="0.35">
      <c r="A63" s="15">
        <v>62</v>
      </c>
      <c r="B63" s="4"/>
      <c r="C63" s="4"/>
      <c r="D63" s="5"/>
      <c r="E63" s="8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"/>
      <c r="G63" s="5"/>
      <c r="H63" s="5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6"/>
    </row>
    <row r="64" spans="1:22" customFormat="1" ht="13.5" hidden="1" x14ac:dyDescent="0.35">
      <c r="A64" s="14">
        <v>63</v>
      </c>
      <c r="B64" s="1"/>
      <c r="C64" s="1"/>
      <c r="D64" s="2"/>
      <c r="E64" s="8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1"/>
      <c r="G64" s="2"/>
      <c r="H64" s="2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3"/>
    </row>
    <row r="65" spans="1:22" customFormat="1" ht="13.5" hidden="1" x14ac:dyDescent="0.35">
      <c r="A65" s="15">
        <v>64</v>
      </c>
      <c r="B65" s="4"/>
      <c r="C65" s="4"/>
      <c r="D65" s="5"/>
      <c r="E65" s="8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"/>
      <c r="G65" s="5"/>
      <c r="H65" s="5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6"/>
    </row>
    <row r="66" spans="1:22" customFormat="1" ht="13.5" hidden="1" x14ac:dyDescent="0.35">
      <c r="A66" s="14">
        <v>65</v>
      </c>
      <c r="B66" s="1"/>
      <c r="C66" s="1"/>
      <c r="D66" s="2"/>
      <c r="E66" s="8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1"/>
      <c r="G66" s="2"/>
      <c r="H66" s="2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3"/>
    </row>
    <row r="67" spans="1:22" customFormat="1" ht="13.5" hidden="1" x14ac:dyDescent="0.35">
      <c r="A67" s="15">
        <v>66</v>
      </c>
      <c r="B67" s="4"/>
      <c r="C67" s="4"/>
      <c r="D67" s="5"/>
      <c r="E67" s="8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"/>
      <c r="G67" s="5"/>
      <c r="H67" s="5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6"/>
    </row>
    <row r="68" spans="1:22" customFormat="1" ht="13.5" hidden="1" x14ac:dyDescent="0.35">
      <c r="A68" s="14">
        <v>67</v>
      </c>
      <c r="B68" s="1"/>
      <c r="C68" s="1"/>
      <c r="D68" s="2"/>
      <c r="E68" s="8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1"/>
      <c r="G68" s="2"/>
      <c r="H68" s="2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3"/>
    </row>
    <row r="69" spans="1:22" customFormat="1" ht="13.5" hidden="1" x14ac:dyDescent="0.35">
      <c r="A69" s="15">
        <v>68</v>
      </c>
      <c r="B69" s="4"/>
      <c r="C69" s="4"/>
      <c r="D69" s="5"/>
      <c r="E69" s="8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"/>
      <c r="G69" s="5"/>
      <c r="H69" s="5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6"/>
    </row>
    <row r="70" spans="1:22" customFormat="1" ht="13.5" hidden="1" x14ac:dyDescent="0.35">
      <c r="A70" s="14">
        <v>69</v>
      </c>
      <c r="B70" s="1"/>
      <c r="C70" s="1"/>
      <c r="D70" s="2"/>
      <c r="E70" s="8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1"/>
      <c r="G70" s="2"/>
      <c r="H70" s="2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3"/>
    </row>
    <row r="71" spans="1:22" customFormat="1" ht="13.5" hidden="1" x14ac:dyDescent="0.35">
      <c r="A71" s="15">
        <v>70</v>
      </c>
      <c r="B71" s="4"/>
      <c r="C71" s="4"/>
      <c r="D71" s="5"/>
      <c r="E71" s="8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"/>
      <c r="G71" s="5"/>
      <c r="H71" s="5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6"/>
    </row>
    <row r="72" spans="1:22" customFormat="1" ht="13.5" hidden="1" x14ac:dyDescent="0.35">
      <c r="A72" s="14">
        <v>71</v>
      </c>
      <c r="B72" s="1"/>
      <c r="C72" s="1"/>
      <c r="D72" s="2"/>
      <c r="E72" s="8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1"/>
      <c r="G72" s="2"/>
      <c r="H72" s="2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3"/>
    </row>
    <row r="73" spans="1:22" customFormat="1" ht="13.5" hidden="1" x14ac:dyDescent="0.35">
      <c r="A73" s="15">
        <v>72</v>
      </c>
      <c r="B73" s="4"/>
      <c r="C73" s="4"/>
      <c r="D73" s="5"/>
      <c r="E73" s="8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"/>
      <c r="G73" s="5"/>
      <c r="H73" s="5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6"/>
    </row>
    <row r="74" spans="1:22" customFormat="1" ht="13.5" hidden="1" x14ac:dyDescent="0.35">
      <c r="A74" s="14">
        <v>73</v>
      </c>
      <c r="B74" s="1"/>
      <c r="C74" s="1"/>
      <c r="D74" s="2"/>
      <c r="E74" s="8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1"/>
      <c r="G74" s="2"/>
      <c r="H74" s="2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3"/>
    </row>
    <row r="75" spans="1:22" customFormat="1" ht="13.5" hidden="1" x14ac:dyDescent="0.35">
      <c r="A75" s="15">
        <v>74</v>
      </c>
      <c r="B75" s="4"/>
      <c r="C75" s="4"/>
      <c r="D75" s="5"/>
      <c r="E75" s="8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"/>
      <c r="G75" s="5"/>
      <c r="H75" s="5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6"/>
    </row>
    <row r="76" spans="1:22" customFormat="1" ht="13.5" hidden="1" x14ac:dyDescent="0.35">
      <c r="A76" s="14">
        <v>75</v>
      </c>
      <c r="B76" s="1"/>
      <c r="C76" s="1"/>
      <c r="D76" s="2"/>
      <c r="E76" s="8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1"/>
      <c r="G76" s="2"/>
      <c r="H76" s="2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3"/>
    </row>
    <row r="77" spans="1:22" customFormat="1" ht="13.5" hidden="1" x14ac:dyDescent="0.35">
      <c r="A77" s="15">
        <v>76</v>
      </c>
      <c r="B77" s="4"/>
      <c r="C77" s="4"/>
      <c r="D77" s="5"/>
      <c r="E77" s="8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"/>
      <c r="G77" s="5"/>
      <c r="H77" s="5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6"/>
    </row>
    <row r="78" spans="1:22" customFormat="1" ht="13.5" hidden="1" x14ac:dyDescent="0.35">
      <c r="A78" s="14">
        <v>77</v>
      </c>
      <c r="B78" s="1"/>
      <c r="C78" s="1"/>
      <c r="D78" s="2"/>
      <c r="E78" s="8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1"/>
      <c r="G78" s="2"/>
      <c r="H78" s="2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3"/>
    </row>
    <row r="79" spans="1:22" customFormat="1" ht="13.5" hidden="1" x14ac:dyDescent="0.35">
      <c r="A79" s="15">
        <v>78</v>
      </c>
      <c r="B79" s="4"/>
      <c r="C79" s="4"/>
      <c r="D79" s="5"/>
      <c r="E79" s="8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"/>
      <c r="G79" s="5"/>
      <c r="H79" s="5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6"/>
    </row>
    <row r="80" spans="1:22" customFormat="1" ht="13.5" hidden="1" x14ac:dyDescent="0.35">
      <c r="A80" s="14">
        <v>79</v>
      </c>
      <c r="B80" s="1"/>
      <c r="C80" s="1"/>
      <c r="D80" s="2"/>
      <c r="E80" s="8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1"/>
      <c r="G80" s="2"/>
      <c r="H80" s="2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3"/>
    </row>
    <row r="81" spans="1:22" customFormat="1" ht="13.5" hidden="1" x14ac:dyDescent="0.35">
      <c r="A81" s="15">
        <v>80</v>
      </c>
      <c r="B81" s="4"/>
      <c r="C81" s="4"/>
      <c r="D81" s="5"/>
      <c r="E81" s="8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"/>
      <c r="G81" s="5"/>
      <c r="H81" s="5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6"/>
    </row>
    <row r="82" spans="1:22" customFormat="1" ht="13.5" hidden="1" x14ac:dyDescent="0.35">
      <c r="A82" s="14">
        <v>81</v>
      </c>
      <c r="B82" s="1"/>
      <c r="C82" s="1"/>
      <c r="D82" s="2"/>
      <c r="E82" s="8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1"/>
      <c r="G82" s="2"/>
      <c r="H82" s="2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3"/>
    </row>
    <row r="83" spans="1:22" customFormat="1" ht="13.5" hidden="1" x14ac:dyDescent="0.35">
      <c r="A83" s="15">
        <v>82</v>
      </c>
      <c r="B83" s="4"/>
      <c r="C83" s="4"/>
      <c r="D83" s="5"/>
      <c r="E83" s="8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"/>
      <c r="G83" s="5"/>
      <c r="H83" s="5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6"/>
    </row>
    <row r="84" spans="1:22" customFormat="1" ht="13.5" hidden="1" x14ac:dyDescent="0.35">
      <c r="A84" s="14">
        <v>83</v>
      </c>
      <c r="B84" s="1"/>
      <c r="C84" s="1"/>
      <c r="D84" s="2"/>
      <c r="E84" s="8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1"/>
      <c r="G84" s="2"/>
      <c r="H84" s="2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3"/>
    </row>
    <row r="85" spans="1:22" customFormat="1" ht="13.5" hidden="1" x14ac:dyDescent="0.35">
      <c r="A85" s="15">
        <v>84</v>
      </c>
      <c r="B85" s="4"/>
      <c r="C85" s="4"/>
      <c r="D85" s="5"/>
      <c r="E85" s="8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"/>
      <c r="G85" s="5"/>
      <c r="H85" s="5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6"/>
    </row>
    <row r="86" spans="1:22" customFormat="1" ht="13.5" hidden="1" x14ac:dyDescent="0.35">
      <c r="A86" s="14">
        <v>85</v>
      </c>
      <c r="B86" s="1"/>
      <c r="C86" s="1"/>
      <c r="D86" s="2"/>
      <c r="E86" s="8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1"/>
      <c r="G86" s="2"/>
      <c r="H86" s="2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3"/>
    </row>
    <row r="87" spans="1:22" customFormat="1" ht="13.5" hidden="1" x14ac:dyDescent="0.35">
      <c r="A87" s="15">
        <v>86</v>
      </c>
      <c r="B87" s="4"/>
      <c r="C87" s="4"/>
      <c r="D87" s="5"/>
      <c r="E87" s="8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"/>
      <c r="G87" s="5"/>
      <c r="H87" s="5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6"/>
    </row>
    <row r="88" spans="1:22" customFormat="1" ht="13.5" hidden="1" x14ac:dyDescent="0.35">
      <c r="A88" s="14">
        <v>87</v>
      </c>
      <c r="B88" s="1"/>
      <c r="C88" s="1"/>
      <c r="D88" s="2"/>
      <c r="E88" s="8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1"/>
      <c r="G88" s="2"/>
      <c r="H88" s="2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3"/>
    </row>
    <row r="89" spans="1:22" customFormat="1" ht="13.5" hidden="1" x14ac:dyDescent="0.35">
      <c r="A89" s="15">
        <v>88</v>
      </c>
      <c r="B89" s="4"/>
      <c r="C89" s="4"/>
      <c r="D89" s="5"/>
      <c r="E89" s="8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"/>
      <c r="G89" s="5"/>
      <c r="H89" s="5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6"/>
    </row>
    <row r="90" spans="1:22" customFormat="1" ht="13.5" hidden="1" x14ac:dyDescent="0.35">
      <c r="A90" s="14">
        <v>89</v>
      </c>
      <c r="B90" s="1"/>
      <c r="C90" s="1"/>
      <c r="D90" s="2"/>
      <c r="E90" s="8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1"/>
      <c r="G90" s="2"/>
      <c r="H90" s="2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3"/>
    </row>
    <row r="91" spans="1:22" customFormat="1" ht="13.5" hidden="1" x14ac:dyDescent="0.35">
      <c r="A91" s="15">
        <v>90</v>
      </c>
      <c r="B91" s="4"/>
      <c r="C91" s="4"/>
      <c r="D91" s="5"/>
      <c r="E91" s="8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"/>
      <c r="G91" s="5"/>
      <c r="H91" s="5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6"/>
    </row>
    <row r="92" spans="1:22" customFormat="1" ht="13.5" hidden="1" x14ac:dyDescent="0.35">
      <c r="A92" s="14">
        <v>91</v>
      </c>
      <c r="B92" s="1"/>
      <c r="C92" s="1"/>
      <c r="D92" s="2"/>
      <c r="E92" s="8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1"/>
      <c r="G92" s="2"/>
      <c r="H92" s="2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3"/>
    </row>
    <row r="93" spans="1:22" customFormat="1" ht="13.5" hidden="1" x14ac:dyDescent="0.35">
      <c r="A93" s="15">
        <v>92</v>
      </c>
      <c r="B93" s="4"/>
      <c r="C93" s="4"/>
      <c r="D93" s="5"/>
      <c r="E93" s="8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"/>
      <c r="G93" s="5"/>
      <c r="H93" s="5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6"/>
    </row>
    <row r="94" spans="1:22" customFormat="1" ht="13.5" hidden="1" x14ac:dyDescent="0.35">
      <c r="A94" s="14">
        <v>93</v>
      </c>
      <c r="B94" s="1"/>
      <c r="C94" s="1"/>
      <c r="D94" s="2"/>
      <c r="E94" s="8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1"/>
      <c r="G94" s="2"/>
      <c r="H94" s="2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3"/>
    </row>
    <row r="95" spans="1:22" customFormat="1" ht="13.5" hidden="1" x14ac:dyDescent="0.35">
      <c r="A95" s="15">
        <v>94</v>
      </c>
      <c r="B95" s="4"/>
      <c r="C95" s="4"/>
      <c r="D95" s="5"/>
      <c r="E95" s="8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"/>
      <c r="G95" s="5"/>
      <c r="H95" s="5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6"/>
    </row>
    <row r="96" spans="1:22" customFormat="1" ht="13.5" hidden="1" x14ac:dyDescent="0.35">
      <c r="A96" s="14">
        <v>95</v>
      </c>
      <c r="B96" s="1"/>
      <c r="C96" s="1"/>
      <c r="D96" s="2"/>
      <c r="E96" s="8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1"/>
      <c r="G96" s="2"/>
      <c r="H96" s="2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3"/>
    </row>
    <row r="97" spans="1:22" customFormat="1" ht="13.5" hidden="1" x14ac:dyDescent="0.35">
      <c r="A97" s="15">
        <v>96</v>
      </c>
      <c r="B97" s="4"/>
      <c r="C97" s="4"/>
      <c r="D97" s="5"/>
      <c r="E97" s="8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"/>
      <c r="G97" s="5"/>
      <c r="H97" s="5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6"/>
    </row>
    <row r="98" spans="1:22" customFormat="1" ht="13.5" hidden="1" x14ac:dyDescent="0.35">
      <c r="A98" s="14">
        <v>97</v>
      </c>
      <c r="B98" s="1"/>
      <c r="C98" s="1"/>
      <c r="D98" s="2"/>
      <c r="E98" s="8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1"/>
      <c r="G98" s="2"/>
      <c r="H98" s="2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3"/>
    </row>
    <row r="99" spans="1:22" customFormat="1" ht="13.5" hidden="1" x14ac:dyDescent="0.35">
      <c r="A99" s="15">
        <v>98</v>
      </c>
      <c r="B99" s="4"/>
      <c r="C99" s="4"/>
      <c r="D99" s="5"/>
      <c r="E99" s="8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"/>
      <c r="G99" s="5"/>
      <c r="H99" s="5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6"/>
    </row>
    <row r="100" spans="1:22" customFormat="1" ht="13.5" hidden="1" x14ac:dyDescent="0.35">
      <c r="A100" s="14">
        <v>99</v>
      </c>
      <c r="B100" s="1"/>
      <c r="C100" s="1"/>
      <c r="D100" s="2"/>
      <c r="E100" s="8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1"/>
      <c r="G100" s="2"/>
      <c r="H100" s="2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3"/>
    </row>
    <row r="101" spans="1:22" customFormat="1" ht="13.5" hidden="1" x14ac:dyDescent="0.35">
      <c r="A101" s="15">
        <v>100</v>
      </c>
      <c r="B101" s="4"/>
      <c r="C101" s="4"/>
      <c r="D101" s="5"/>
      <c r="E101" s="8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"/>
      <c r="G101" s="5"/>
      <c r="H101" s="5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6"/>
    </row>
    <row r="102" spans="1:22" customFormat="1" ht="13.5" hidden="1" x14ac:dyDescent="0.35">
      <c r="A102" s="14">
        <v>101</v>
      </c>
      <c r="B102" s="1"/>
      <c r="C102" s="1"/>
      <c r="D102" s="2"/>
      <c r="E102" s="8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1"/>
      <c r="G102" s="2"/>
      <c r="H102" s="2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3"/>
    </row>
    <row r="103" spans="1:22" customFormat="1" ht="13.5" hidden="1" x14ac:dyDescent="0.35">
      <c r="A103" s="15">
        <v>102</v>
      </c>
      <c r="B103" s="4"/>
      <c r="C103" s="4"/>
      <c r="D103" s="5"/>
      <c r="E103" s="8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"/>
      <c r="G103" s="5"/>
      <c r="H103" s="5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6"/>
    </row>
    <row r="104" spans="1:22" customFormat="1" ht="13.5" hidden="1" x14ac:dyDescent="0.35">
      <c r="A104" s="14">
        <v>103</v>
      </c>
      <c r="B104" s="1"/>
      <c r="C104" s="1"/>
      <c r="D104" s="2"/>
      <c r="E104" s="8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1"/>
      <c r="G104" s="2"/>
      <c r="H104" s="2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3"/>
    </row>
    <row r="105" spans="1:22" customFormat="1" ht="13.5" hidden="1" x14ac:dyDescent="0.35">
      <c r="A105" s="15">
        <v>104</v>
      </c>
      <c r="B105" s="4"/>
      <c r="C105" s="4"/>
      <c r="D105" s="5"/>
      <c r="E105" s="8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"/>
      <c r="G105" s="5"/>
      <c r="H105" s="5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6"/>
    </row>
    <row r="106" spans="1:22" customFormat="1" ht="13.5" hidden="1" x14ac:dyDescent="0.35">
      <c r="A106" s="14">
        <v>105</v>
      </c>
      <c r="B106" s="1"/>
      <c r="C106" s="1"/>
      <c r="D106" s="2"/>
      <c r="E106" s="8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1"/>
      <c r="G106" s="2"/>
      <c r="H106" s="2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3"/>
    </row>
    <row r="107" spans="1:22" customFormat="1" ht="13.5" hidden="1" x14ac:dyDescent="0.35">
      <c r="A107" s="15">
        <v>106</v>
      </c>
      <c r="B107" s="4"/>
      <c r="C107" s="4"/>
      <c r="D107" s="5"/>
      <c r="E107" s="8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"/>
      <c r="G107" s="5"/>
      <c r="H107" s="5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6"/>
    </row>
    <row r="108" spans="1:22" customFormat="1" ht="13.5" hidden="1" x14ac:dyDescent="0.35">
      <c r="A108" s="14">
        <v>107</v>
      </c>
      <c r="B108" s="1"/>
      <c r="C108" s="1"/>
      <c r="D108" s="2"/>
      <c r="E108" s="8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1"/>
      <c r="G108" s="2"/>
      <c r="H108" s="2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3"/>
    </row>
    <row r="109" spans="1:22" customFormat="1" ht="13.5" hidden="1" x14ac:dyDescent="0.35">
      <c r="A109" s="15">
        <v>108</v>
      </c>
      <c r="B109" s="4"/>
      <c r="C109" s="4"/>
      <c r="D109" s="5"/>
      <c r="E109" s="8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"/>
      <c r="G109" s="5"/>
      <c r="H109" s="5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6"/>
    </row>
    <row r="110" spans="1:22" customFormat="1" ht="13.5" hidden="1" x14ac:dyDescent="0.35">
      <c r="A110" s="14">
        <v>109</v>
      </c>
      <c r="B110" s="1"/>
      <c r="C110" s="1"/>
      <c r="D110" s="2"/>
      <c r="E110" s="8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1"/>
      <c r="G110" s="2"/>
      <c r="H110" s="2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3"/>
    </row>
  </sheetData>
  <autoFilter ref="A1:V110" xr:uid="{00000000-0009-0000-0000-000002000000}">
    <filterColumn colId="4">
      <filters>
        <filter val="درست"/>
      </filters>
    </filterColumn>
  </autoFilter>
  <dataValidations count="3">
    <dataValidation type="custom" showInputMessage="1" showErrorMessage="1" error="تاریخ به درستی وارد نشده است" sqref="H40:H110 H1:H32" xr:uid="{00000000-0002-0000-02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40:G110 G14:G32 G1:G12" xr:uid="{00000000-0002-0000-0200-000001000000}">
      <formula1>AND(LEFT(G1,2)="09", LEN(G1)=11)</formula1>
    </dataValidation>
    <dataValidation type="custom" showInputMessage="1" showErrorMessage="1" error="شماره کلاس باید 1 یا 2 باشد" sqref="O40:O110 O2:O32" xr:uid="{00000000-0002-0000-0200-000002000000}">
      <formula1>OR(O2=1, O2=2)</formula1>
    </dataValidation>
  </dataValidations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10"/>
  <sheetViews>
    <sheetView rightToLeft="1" workbookViewId="0">
      <pane ySplit="1" topLeftCell="A2" activePane="bottomLeft" state="frozen"/>
      <selection pane="bottomLeft" activeCell="E2" sqref="E2"/>
    </sheetView>
  </sheetViews>
  <sheetFormatPr defaultRowHeight="13.5" x14ac:dyDescent="0.35"/>
  <cols>
    <col min="4" max="4" width="11.6875" customWidth="1"/>
    <col min="9" max="9" width="12.5625" customWidth="1"/>
    <col min="17" max="17" width="12.4375" customWidth="1"/>
  </cols>
  <sheetData>
    <row r="1" spans="1:22" ht="17.649999999999999" x14ac:dyDescent="0.35">
      <c r="A1" s="39" t="s">
        <v>0</v>
      </c>
      <c r="B1" s="40" t="s">
        <v>1</v>
      </c>
      <c r="C1" s="40" t="s">
        <v>2</v>
      </c>
      <c r="D1" s="41" t="s">
        <v>3</v>
      </c>
      <c r="E1" s="40"/>
      <c r="F1" s="40" t="s">
        <v>4</v>
      </c>
      <c r="G1" s="41" t="s">
        <v>5</v>
      </c>
      <c r="H1" s="41" t="s">
        <v>6</v>
      </c>
      <c r="I1" s="40" t="s">
        <v>7</v>
      </c>
      <c r="J1" s="40" t="s">
        <v>8</v>
      </c>
      <c r="K1" s="40" t="s">
        <v>9</v>
      </c>
      <c r="L1" s="40" t="s">
        <v>10</v>
      </c>
      <c r="M1" s="40" t="s">
        <v>11</v>
      </c>
      <c r="N1" s="40" t="s">
        <v>12</v>
      </c>
      <c r="O1" s="40" t="s">
        <v>13</v>
      </c>
      <c r="P1" s="40" t="s">
        <v>14</v>
      </c>
      <c r="Q1" s="40" t="s">
        <v>15</v>
      </c>
      <c r="R1" s="40" t="s">
        <v>16</v>
      </c>
      <c r="S1" s="40" t="s">
        <v>17</v>
      </c>
      <c r="T1" s="40" t="s">
        <v>18</v>
      </c>
      <c r="U1" s="40" t="s">
        <v>19</v>
      </c>
      <c r="V1" s="42" t="s">
        <v>20</v>
      </c>
    </row>
    <row r="2" spans="1:22" ht="16.149999999999999" x14ac:dyDescent="0.7">
      <c r="A2" s="44">
        <v>1</v>
      </c>
      <c r="B2" s="49" t="s">
        <v>76</v>
      </c>
      <c r="C2" s="49" t="s">
        <v>197</v>
      </c>
      <c r="D2" s="49">
        <v>3710768810</v>
      </c>
      <c r="E2" s="50" t="str">
        <f>IF(
 MOD(SUMPRODUCT(MID(TEXT(D2,"0000000000"),{1,2,3,4,5,6,7,8,9},1)*{10,9,8,7,6,5,4,3,2}),11)
 =
 IF(RIGHT(TEXT(D2,"0000000000"),1)&lt;2, RIGHT(TEXT(D2,"0000000000"),1), 11-RIGHT(TEXT(D2,"0000000000"),1)),
"درست","اشتباه")</f>
        <v>اشتباه</v>
      </c>
      <c r="F2" s="49" t="s">
        <v>93</v>
      </c>
      <c r="G2" s="51" t="s">
        <v>251</v>
      </c>
      <c r="H2" s="49">
        <v>13860325</v>
      </c>
      <c r="I2" s="45" t="s">
        <v>86</v>
      </c>
      <c r="J2" s="45" t="s">
        <v>87</v>
      </c>
      <c r="K2" s="43" t="s">
        <v>84</v>
      </c>
      <c r="L2" s="43" t="s">
        <v>85</v>
      </c>
      <c r="M2" s="45" t="s">
        <v>46</v>
      </c>
      <c r="N2" s="43" t="s">
        <v>83</v>
      </c>
      <c r="O2" s="45">
        <v>1</v>
      </c>
      <c r="P2" s="45" t="s">
        <v>88</v>
      </c>
      <c r="Q2" s="45">
        <v>5433728399</v>
      </c>
      <c r="R2" s="45" t="s">
        <v>89</v>
      </c>
      <c r="S2" s="45">
        <v>13.34</v>
      </c>
      <c r="T2" s="45" t="s">
        <v>252</v>
      </c>
      <c r="U2" s="45">
        <v>9156778598</v>
      </c>
      <c r="V2" s="45">
        <v>9156778598</v>
      </c>
    </row>
    <row r="3" spans="1:22" ht="16.149999999999999" x14ac:dyDescent="0.7">
      <c r="A3" s="52">
        <v>2</v>
      </c>
      <c r="B3" s="49" t="s">
        <v>185</v>
      </c>
      <c r="C3" s="49" t="s">
        <v>198</v>
      </c>
      <c r="D3" s="49">
        <v>3690933692</v>
      </c>
      <c r="E3" s="50" t="str">
        <f>IF(
 MOD(SUMPRODUCT(MID(TEXT(D3,"0000000000"),{1,2,3,4,5,6,7,8,9},1)*{10,9,8,7,6,5,4,3,2}),11)
 =
 IF(RIGHT(TEXT(D3,"0000000000"),1)&lt;2, RIGHT(TEXT(D3,"0000000000"),1), 11-RIGHT(TEXT(D3,"0000000000"),1)),
"درست","اشتباه")</f>
        <v>درست</v>
      </c>
      <c r="F3" s="49" t="s">
        <v>208</v>
      </c>
      <c r="G3" s="53" t="s">
        <v>290</v>
      </c>
      <c r="H3" s="49">
        <v>13860230</v>
      </c>
      <c r="I3" s="45" t="s">
        <v>86</v>
      </c>
      <c r="J3" s="45" t="s">
        <v>87</v>
      </c>
      <c r="K3" s="43" t="s">
        <v>84</v>
      </c>
      <c r="L3" s="43" t="s">
        <v>85</v>
      </c>
      <c r="M3" s="47" t="s">
        <v>46</v>
      </c>
      <c r="N3" s="43" t="s">
        <v>83</v>
      </c>
      <c r="O3" s="45">
        <v>1</v>
      </c>
      <c r="P3" s="45" t="s">
        <v>88</v>
      </c>
      <c r="Q3" s="45">
        <v>5433728399</v>
      </c>
      <c r="R3" s="45" t="s">
        <v>89</v>
      </c>
      <c r="S3" s="47">
        <v>12.18</v>
      </c>
      <c r="T3" s="47" t="s">
        <v>281</v>
      </c>
      <c r="U3" s="47">
        <v>9913921545</v>
      </c>
      <c r="V3" s="47">
        <v>9913921545</v>
      </c>
    </row>
    <row r="4" spans="1:22" ht="16.149999999999999" x14ac:dyDescent="0.7">
      <c r="A4" s="44">
        <v>3</v>
      </c>
      <c r="B4" s="49" t="s">
        <v>186</v>
      </c>
      <c r="C4" s="49" t="s">
        <v>23</v>
      </c>
      <c r="D4" s="49">
        <v>3612667890</v>
      </c>
      <c r="E4" s="50" t="str">
        <f>IF(
 MOD(SUMPRODUCT(MID(TEXT(D4,"0000000000"),{1,2,3,4,5,6,7,8,9},1)*{10,9,8,7,6,5,4,3,2}),11)
 =
 IF(RIGHT(TEXT(D4,"0000000000"),1)&lt;2, RIGHT(TEXT(D4,"0000000000"),1), 11-RIGHT(TEXT(D4,"0000000000"),1)),
"درست","اشتباه")</f>
        <v>اشتباه</v>
      </c>
      <c r="F4" s="49" t="s">
        <v>209</v>
      </c>
      <c r="G4" s="51" t="s">
        <v>261</v>
      </c>
      <c r="H4" s="49">
        <v>13861217</v>
      </c>
      <c r="I4" s="45" t="s">
        <v>86</v>
      </c>
      <c r="J4" s="45" t="s">
        <v>87</v>
      </c>
      <c r="K4" s="43" t="s">
        <v>84</v>
      </c>
      <c r="L4" s="43" t="s">
        <v>85</v>
      </c>
      <c r="M4" s="47" t="s">
        <v>46</v>
      </c>
      <c r="N4" s="43" t="s">
        <v>83</v>
      </c>
      <c r="O4" s="45">
        <v>1</v>
      </c>
      <c r="P4" s="45" t="s">
        <v>88</v>
      </c>
      <c r="Q4" s="45">
        <v>5433728399</v>
      </c>
      <c r="R4" s="45" t="s">
        <v>89</v>
      </c>
      <c r="S4" s="45">
        <v>12.62</v>
      </c>
      <c r="T4" s="45" t="s">
        <v>262</v>
      </c>
      <c r="U4" s="45">
        <v>9153499205</v>
      </c>
      <c r="V4" s="45">
        <v>9153499205</v>
      </c>
    </row>
    <row r="5" spans="1:22" ht="16.149999999999999" x14ac:dyDescent="0.7">
      <c r="A5" s="52">
        <v>4</v>
      </c>
      <c r="B5" s="49" t="s">
        <v>187</v>
      </c>
      <c r="C5" s="49" t="s">
        <v>199</v>
      </c>
      <c r="D5" s="49">
        <v>3612579460</v>
      </c>
      <c r="E5" s="50" t="str">
        <f>IF(
 MOD(SUMPRODUCT(MID(TEXT(D5,"0000000000"),{1,2,3,4,5,6,7,8,9},1)*{10,9,8,7,6,5,4,3,2}),11)
 =
 IF(RIGHT(TEXT(D5,"0000000000"),1)&lt;2, RIGHT(TEXT(D5,"0000000000"),1), 11-RIGHT(TEXT(D5,"0000000000"),1)),
"درست","اشتباه")</f>
        <v>اشتباه</v>
      </c>
      <c r="F5" s="49" t="s">
        <v>210</v>
      </c>
      <c r="G5" s="53" t="s">
        <v>291</v>
      </c>
      <c r="H5" s="49">
        <v>13870431</v>
      </c>
      <c r="I5" s="45" t="s">
        <v>86</v>
      </c>
      <c r="J5" s="45" t="s">
        <v>87</v>
      </c>
      <c r="K5" s="43" t="s">
        <v>84</v>
      </c>
      <c r="L5" s="43" t="s">
        <v>85</v>
      </c>
      <c r="M5" s="45" t="s">
        <v>46</v>
      </c>
      <c r="N5" s="43" t="s">
        <v>83</v>
      </c>
      <c r="O5" s="45">
        <v>1</v>
      </c>
      <c r="P5" s="45" t="s">
        <v>88</v>
      </c>
      <c r="Q5" s="45">
        <v>5433728399</v>
      </c>
      <c r="R5" s="45" t="s">
        <v>89</v>
      </c>
      <c r="S5" s="47">
        <v>13.12</v>
      </c>
      <c r="T5" s="47" t="s">
        <v>292</v>
      </c>
      <c r="U5" s="47">
        <v>157229205</v>
      </c>
      <c r="V5" s="47">
        <v>157229205</v>
      </c>
    </row>
    <row r="6" spans="1:22" ht="16.149999999999999" x14ac:dyDescent="0.7">
      <c r="A6" s="44">
        <v>5</v>
      </c>
      <c r="B6" s="49" t="s">
        <v>42</v>
      </c>
      <c r="C6" s="49" t="s">
        <v>26</v>
      </c>
      <c r="D6" s="49">
        <v>3710792665</v>
      </c>
      <c r="E6" s="50" t="str">
        <f>IF(
 MOD(SUMPRODUCT(MID(TEXT(D6,"0000000000"),{1,2,3,4,5,6,7,8,9},1)*{10,9,8,7,6,5,4,3,2}),11)
 =
 IF(RIGHT(TEXT(D6,"0000000000"),1)&lt;2, RIGHT(TEXT(D6,"0000000000"),1), 11-RIGHT(TEXT(D6,"0000000000"),1)),
"درست","اشتباه")</f>
        <v>درست</v>
      </c>
      <c r="F6" s="49" t="s">
        <v>211</v>
      </c>
      <c r="G6" s="53" t="s">
        <v>263</v>
      </c>
      <c r="H6" s="49">
        <v>13861108</v>
      </c>
      <c r="I6" s="45" t="s">
        <v>86</v>
      </c>
      <c r="J6" s="45" t="s">
        <v>87</v>
      </c>
      <c r="K6" s="43" t="s">
        <v>84</v>
      </c>
      <c r="L6" s="43" t="s">
        <v>85</v>
      </c>
      <c r="M6" s="45" t="s">
        <v>46</v>
      </c>
      <c r="N6" s="43" t="s">
        <v>83</v>
      </c>
      <c r="O6" s="45">
        <v>1</v>
      </c>
      <c r="P6" s="45" t="s">
        <v>88</v>
      </c>
      <c r="Q6" s="45">
        <v>5433728399</v>
      </c>
      <c r="R6" s="45" t="s">
        <v>89</v>
      </c>
      <c r="S6" s="47">
        <v>13.08</v>
      </c>
      <c r="T6" s="47" t="s">
        <v>264</v>
      </c>
      <c r="U6" s="47">
        <v>9019380152</v>
      </c>
      <c r="V6" s="47">
        <v>9019380152</v>
      </c>
    </row>
    <row r="7" spans="1:22" ht="16.149999999999999" x14ac:dyDescent="0.7">
      <c r="A7" s="52">
        <v>6</v>
      </c>
      <c r="B7" s="49" t="s">
        <v>188</v>
      </c>
      <c r="C7" s="49" t="s">
        <v>200</v>
      </c>
      <c r="D7" s="49">
        <v>3612578278</v>
      </c>
      <c r="E7" s="50" t="str">
        <f>IF(
 MOD(SUMPRODUCT(MID(TEXT(D7,"0000000000"),{1,2,3,4,5,6,7,8,9},1)*{10,9,8,7,6,5,4,3,2}),11)
 =
 IF(RIGHT(TEXT(D7,"0000000000"),1)&lt;2, RIGHT(TEXT(D7,"0000000000"),1), 11-RIGHT(TEXT(D7,"0000000000"),1)),
"درست","اشتباه")</f>
        <v>درست</v>
      </c>
      <c r="F7" s="49" t="s">
        <v>212</v>
      </c>
      <c r="G7" s="53" t="s">
        <v>258</v>
      </c>
      <c r="H7" s="49">
        <v>13870423</v>
      </c>
      <c r="I7" s="45" t="s">
        <v>86</v>
      </c>
      <c r="J7" s="45" t="s">
        <v>87</v>
      </c>
      <c r="K7" s="43" t="s">
        <v>84</v>
      </c>
      <c r="L7" s="43" t="s">
        <v>85</v>
      </c>
      <c r="M7" s="45" t="s">
        <v>46</v>
      </c>
      <c r="N7" s="43" t="s">
        <v>83</v>
      </c>
      <c r="O7" s="45">
        <v>1</v>
      </c>
      <c r="P7" s="45" t="s">
        <v>88</v>
      </c>
      <c r="Q7" s="45">
        <v>5433728399</v>
      </c>
      <c r="R7" s="45" t="s">
        <v>89</v>
      </c>
      <c r="S7" s="47">
        <v>14.9</v>
      </c>
      <c r="T7" s="47" t="s">
        <v>259</v>
      </c>
      <c r="U7" s="47">
        <v>9155435514</v>
      </c>
      <c r="V7" s="47">
        <v>9155435514</v>
      </c>
    </row>
    <row r="8" spans="1:22" ht="16.149999999999999" x14ac:dyDescent="0.7">
      <c r="A8" s="44">
        <v>7</v>
      </c>
      <c r="B8" s="49" t="s">
        <v>189</v>
      </c>
      <c r="C8" s="49" t="s">
        <v>164</v>
      </c>
      <c r="D8" s="49">
        <v>3710814847</v>
      </c>
      <c r="E8" s="50" t="str">
        <f>IF(
 MOD(SUMPRODUCT(MID(TEXT(D8,"0000000000"),{1,2,3,4,5,6,7,8,9},1)*{10,9,8,7,6,5,4,3,2}),11)
 =
 IF(RIGHT(TEXT(D8,"0000000000"),1)&lt;2, RIGHT(TEXT(D8,"0000000000"),1), 11-RIGHT(TEXT(D8,"0000000000"),1)),
"درست","اشتباه")</f>
        <v>درست</v>
      </c>
      <c r="F8" s="49" t="s">
        <v>32</v>
      </c>
      <c r="G8" s="51" t="s">
        <v>253</v>
      </c>
      <c r="H8" s="49">
        <v>13870310</v>
      </c>
      <c r="I8" s="45" t="s">
        <v>86</v>
      </c>
      <c r="J8" s="45" t="s">
        <v>87</v>
      </c>
      <c r="K8" s="43" t="s">
        <v>84</v>
      </c>
      <c r="L8" s="43" t="s">
        <v>85</v>
      </c>
      <c r="M8" s="47" t="s">
        <v>46</v>
      </c>
      <c r="N8" s="43" t="s">
        <v>83</v>
      </c>
      <c r="O8" s="45">
        <v>1</v>
      </c>
      <c r="P8" s="45" t="s">
        <v>88</v>
      </c>
      <c r="Q8" s="45">
        <v>5433728399</v>
      </c>
      <c r="R8" s="45" t="s">
        <v>89</v>
      </c>
      <c r="S8" s="45">
        <v>15.52</v>
      </c>
      <c r="T8" s="45" t="s">
        <v>252</v>
      </c>
      <c r="U8" s="45">
        <v>9902273163</v>
      </c>
      <c r="V8" s="45">
        <v>9902273163</v>
      </c>
    </row>
    <row r="9" spans="1:22" ht="16.149999999999999" x14ac:dyDescent="0.7">
      <c r="A9" s="52">
        <v>8</v>
      </c>
      <c r="B9" s="49" t="s">
        <v>190</v>
      </c>
      <c r="C9" s="49" t="s">
        <v>31</v>
      </c>
      <c r="D9" s="49">
        <v>3710797802</v>
      </c>
      <c r="E9" s="50" t="str">
        <f>IF(
 MOD(SUMPRODUCT(MID(TEXT(D9,"0000000000"),{1,2,3,4,5,6,7,8,9},1)*{10,9,8,7,6,5,4,3,2}),11)
 =
 IF(RIGHT(TEXT(D9,"0000000000"),1)&lt;2, RIGHT(TEXT(D9,"0000000000"),1), 11-RIGHT(TEXT(D9,"0000000000"),1)),
"درست","اشتباه")</f>
        <v>درست</v>
      </c>
      <c r="F9" s="49" t="s">
        <v>100</v>
      </c>
      <c r="G9" s="53" t="s">
        <v>293</v>
      </c>
      <c r="H9" s="49">
        <v>13860707</v>
      </c>
      <c r="I9" s="45" t="s">
        <v>86</v>
      </c>
      <c r="J9" s="45" t="s">
        <v>87</v>
      </c>
      <c r="K9" s="43" t="s">
        <v>84</v>
      </c>
      <c r="L9" s="43" t="s">
        <v>85</v>
      </c>
      <c r="M9" s="45" t="s">
        <v>46</v>
      </c>
      <c r="N9" s="43" t="s">
        <v>83</v>
      </c>
      <c r="O9" s="45">
        <v>1</v>
      </c>
      <c r="P9" s="45" t="s">
        <v>88</v>
      </c>
      <c r="Q9" s="45">
        <v>5433728399</v>
      </c>
      <c r="R9" s="45" t="s">
        <v>89</v>
      </c>
      <c r="S9" s="47">
        <v>11.54</v>
      </c>
      <c r="T9" s="47" t="s">
        <v>264</v>
      </c>
      <c r="U9" s="47">
        <v>9154698944</v>
      </c>
      <c r="V9" s="47">
        <v>9154698944</v>
      </c>
    </row>
    <row r="10" spans="1:22" ht="16.149999999999999" x14ac:dyDescent="0.7">
      <c r="A10" s="44">
        <v>9</v>
      </c>
      <c r="B10" s="49" t="s">
        <v>191</v>
      </c>
      <c r="C10" s="49" t="s">
        <v>201</v>
      </c>
      <c r="D10" s="49">
        <v>3710813840</v>
      </c>
      <c r="E10" s="50" t="str">
        <f>IF(
 MOD(SUMPRODUCT(MID(TEXT(D10,"0000000000"),{1,2,3,4,5,6,7,8,9},1)*{10,9,8,7,6,5,4,3,2}),11)
 =
 IF(RIGHT(TEXT(D10,"0000000000"),1)&lt;2, RIGHT(TEXT(D10,"0000000000"),1), 11-RIGHT(TEXT(D10,"0000000000"),1)),
"درست","اشتباه")</f>
        <v>اشتباه</v>
      </c>
      <c r="F10" s="49" t="s">
        <v>213</v>
      </c>
      <c r="G10" s="51" t="s">
        <v>256</v>
      </c>
      <c r="H10" s="49">
        <v>13870418</v>
      </c>
      <c r="I10" s="45" t="s">
        <v>86</v>
      </c>
      <c r="J10" s="45" t="s">
        <v>87</v>
      </c>
      <c r="K10" s="43" t="s">
        <v>84</v>
      </c>
      <c r="L10" s="43" t="s">
        <v>85</v>
      </c>
      <c r="M10" s="47" t="s">
        <v>46</v>
      </c>
      <c r="N10" s="43" t="s">
        <v>83</v>
      </c>
      <c r="O10" s="45">
        <v>1</v>
      </c>
      <c r="P10" s="45" t="s">
        <v>88</v>
      </c>
      <c r="Q10" s="45">
        <v>5433728399</v>
      </c>
      <c r="R10" s="45" t="s">
        <v>89</v>
      </c>
      <c r="S10" s="45">
        <v>13.52</v>
      </c>
      <c r="T10" s="45" t="s">
        <v>257</v>
      </c>
      <c r="U10" s="45">
        <v>9935751815</v>
      </c>
      <c r="V10" s="45">
        <v>9935751815</v>
      </c>
    </row>
    <row r="11" spans="1:22" ht="16.149999999999999" x14ac:dyDescent="0.7">
      <c r="A11" s="52">
        <v>10</v>
      </c>
      <c r="B11" s="49" t="s">
        <v>73</v>
      </c>
      <c r="C11" s="49" t="s">
        <v>165</v>
      </c>
      <c r="D11" s="49">
        <v>3710796695</v>
      </c>
      <c r="E11" s="50" t="str">
        <f>IF(
 MOD(SUMPRODUCT(MID(TEXT(D11,"0000000000"),{1,2,3,4,5,6,7,8,9},1)*{10,9,8,7,6,5,4,3,2}),11)
 =
 IF(RIGHT(TEXT(D11,"0000000000"),1)&lt;2, RIGHT(TEXT(D11,"0000000000"),1), 11-RIGHT(TEXT(D11,"0000000000"),1)),
"درست","اشتباه")</f>
        <v>درست</v>
      </c>
      <c r="F11" s="49" t="s">
        <v>175</v>
      </c>
      <c r="G11" s="53" t="s">
        <v>294</v>
      </c>
      <c r="H11" s="49">
        <v>13861207</v>
      </c>
      <c r="I11" s="45" t="s">
        <v>86</v>
      </c>
      <c r="J11" s="45" t="s">
        <v>87</v>
      </c>
      <c r="K11" s="43" t="s">
        <v>84</v>
      </c>
      <c r="L11" s="43" t="s">
        <v>85</v>
      </c>
      <c r="M11" s="45" t="s">
        <v>46</v>
      </c>
      <c r="N11" s="43" t="s">
        <v>83</v>
      </c>
      <c r="O11" s="45">
        <v>1</v>
      </c>
      <c r="P11" s="45" t="s">
        <v>88</v>
      </c>
      <c r="Q11" s="45">
        <v>5433728399</v>
      </c>
      <c r="R11" s="45" t="s">
        <v>89</v>
      </c>
      <c r="S11" s="47">
        <v>13.59</v>
      </c>
      <c r="T11" s="47" t="s">
        <v>295</v>
      </c>
      <c r="U11" s="47">
        <v>9151925301</v>
      </c>
      <c r="V11" s="47">
        <v>9151925301</v>
      </c>
    </row>
    <row r="12" spans="1:22" ht="16.149999999999999" x14ac:dyDescent="0.7">
      <c r="A12" s="44">
        <v>11</v>
      </c>
      <c r="B12" s="49" t="s">
        <v>192</v>
      </c>
      <c r="C12" s="49" t="s">
        <v>202</v>
      </c>
      <c r="D12" s="49">
        <v>3710775612</v>
      </c>
      <c r="E12" s="50" t="str">
        <f>IF(
 MOD(SUMPRODUCT(MID(TEXT(D12,"0000000000"),{1,2,3,4,5,6,7,8,9},1)*{10,9,8,7,6,5,4,3,2}),11)
 =
 IF(RIGHT(TEXT(D12,"0000000000"),1)&lt;2, RIGHT(TEXT(D12,"0000000000"),1), 11-RIGHT(TEXT(D12,"0000000000"),1)),
"درست","اشتباه")</f>
        <v>درست</v>
      </c>
      <c r="F12" s="49" t="s">
        <v>214</v>
      </c>
      <c r="G12" s="51" t="s">
        <v>297</v>
      </c>
      <c r="H12" s="49">
        <v>13860715</v>
      </c>
      <c r="I12" s="45" t="s">
        <v>86</v>
      </c>
      <c r="J12" s="45" t="s">
        <v>87</v>
      </c>
      <c r="K12" s="43" t="s">
        <v>84</v>
      </c>
      <c r="L12" s="43" t="s">
        <v>85</v>
      </c>
      <c r="M12" s="47" t="s">
        <v>46</v>
      </c>
      <c r="N12" s="43" t="s">
        <v>83</v>
      </c>
      <c r="O12" s="45">
        <v>1</v>
      </c>
      <c r="P12" s="45" t="s">
        <v>88</v>
      </c>
      <c r="Q12" s="45">
        <v>5433728399</v>
      </c>
      <c r="R12" s="45" t="s">
        <v>89</v>
      </c>
      <c r="S12" s="45">
        <v>12.41</v>
      </c>
      <c r="T12" s="45" t="s">
        <v>296</v>
      </c>
      <c r="U12" s="45">
        <v>9158463934</v>
      </c>
      <c r="V12" s="45">
        <v>9158463934</v>
      </c>
    </row>
    <row r="13" spans="1:22" ht="16.149999999999999" x14ac:dyDescent="0.7">
      <c r="A13" s="52">
        <v>12</v>
      </c>
      <c r="B13" s="49" t="s">
        <v>193</v>
      </c>
      <c r="C13" s="49" t="s">
        <v>203</v>
      </c>
      <c r="D13" s="49">
        <v>3710822718</v>
      </c>
      <c r="E13" s="50" t="str">
        <f>IF(
 MOD(SUMPRODUCT(MID(TEXT(D13,"0000000000"),{1,2,3,4,5,6,7,8,9},1)*{10,9,8,7,6,5,4,3,2}),11)
 =
 IF(RIGHT(TEXT(D13,"0000000000"),1)&lt;2, RIGHT(TEXT(D13,"0000000000"),1), 11-RIGHT(TEXT(D13,"0000000000"),1)),
"درست","اشتباه")</f>
        <v>درست</v>
      </c>
      <c r="F13" s="49" t="s">
        <v>215</v>
      </c>
      <c r="G13" s="53" t="s">
        <v>298</v>
      </c>
      <c r="H13" s="49">
        <v>13870610</v>
      </c>
      <c r="I13" s="45" t="s">
        <v>86</v>
      </c>
      <c r="J13" s="45" t="s">
        <v>87</v>
      </c>
      <c r="K13" s="43" t="s">
        <v>84</v>
      </c>
      <c r="L13" s="43" t="s">
        <v>85</v>
      </c>
      <c r="M13" s="45" t="s">
        <v>46</v>
      </c>
      <c r="N13" s="43" t="s">
        <v>83</v>
      </c>
      <c r="O13" s="45">
        <v>1</v>
      </c>
      <c r="P13" s="45" t="s">
        <v>88</v>
      </c>
      <c r="Q13" s="45">
        <v>5433728399</v>
      </c>
      <c r="R13" s="45" t="s">
        <v>89</v>
      </c>
      <c r="S13" s="47">
        <v>12.22</v>
      </c>
      <c r="T13" s="47" t="s">
        <v>299</v>
      </c>
      <c r="U13" s="47">
        <v>9151406491</v>
      </c>
      <c r="V13" s="47">
        <v>9151406491</v>
      </c>
    </row>
    <row r="14" spans="1:22" ht="16.149999999999999" x14ac:dyDescent="0.7">
      <c r="A14" s="44">
        <v>13</v>
      </c>
      <c r="B14" s="49" t="s">
        <v>37</v>
      </c>
      <c r="C14" s="49" t="s">
        <v>204</v>
      </c>
      <c r="D14" s="49">
        <v>3710819989</v>
      </c>
      <c r="E14" s="50" t="str">
        <f>IF(
 MOD(SUMPRODUCT(MID(TEXT(D14,"0000000000"),{1,2,3,4,5,6,7,8,9},1)*{10,9,8,7,6,5,4,3,2}),11)
 =
 IF(RIGHT(TEXT(D14,"0000000000"),1)&lt;2, RIGHT(TEXT(D14,"0000000000"),1), 11-RIGHT(TEXT(D14,"0000000000"),1)),
"درست","اشتباه")</f>
        <v>درست</v>
      </c>
      <c r="F14" s="49" t="s">
        <v>216</v>
      </c>
      <c r="G14" s="51" t="s">
        <v>300</v>
      </c>
      <c r="H14" s="49">
        <v>13870519</v>
      </c>
      <c r="I14" s="45" t="s">
        <v>86</v>
      </c>
      <c r="J14" s="45" t="s">
        <v>87</v>
      </c>
      <c r="K14" s="43" t="s">
        <v>84</v>
      </c>
      <c r="L14" s="43" t="s">
        <v>85</v>
      </c>
      <c r="M14" s="45" t="s">
        <v>46</v>
      </c>
      <c r="N14" s="43" t="s">
        <v>83</v>
      </c>
      <c r="O14" s="45">
        <v>1</v>
      </c>
      <c r="P14" s="45" t="s">
        <v>88</v>
      </c>
      <c r="Q14" s="45">
        <v>5433728399</v>
      </c>
      <c r="R14" s="45" t="s">
        <v>89</v>
      </c>
      <c r="S14" s="45">
        <v>11.87</v>
      </c>
      <c r="T14" s="45" t="s">
        <v>252</v>
      </c>
      <c r="U14" s="45">
        <v>9051165784</v>
      </c>
      <c r="V14" s="45">
        <v>9051165784</v>
      </c>
    </row>
    <row r="15" spans="1:22" ht="16.149999999999999" x14ac:dyDescent="0.7">
      <c r="A15" s="52">
        <v>14</v>
      </c>
      <c r="B15" s="49" t="s">
        <v>43</v>
      </c>
      <c r="C15" s="49" t="s">
        <v>131</v>
      </c>
      <c r="D15" s="49">
        <v>3710753491</v>
      </c>
      <c r="E15" s="50" t="str">
        <f>IF(
 MOD(SUMPRODUCT(MID(TEXT(D15,"0000000000"),{1,2,3,4,5,6,7,8,9},1)*{10,9,8,7,6,5,4,3,2}),11)
 =
 IF(RIGHT(TEXT(D15,"0000000000"),1)&lt;2, RIGHT(TEXT(D15,"0000000000"),1), 11-RIGHT(TEXT(D15,"0000000000"),1)),
"درست","اشتباه")</f>
        <v>اشتباه</v>
      </c>
      <c r="F15" s="49" t="s">
        <v>217</v>
      </c>
      <c r="G15" s="53" t="s">
        <v>301</v>
      </c>
      <c r="H15" s="49">
        <v>13851103</v>
      </c>
      <c r="I15" s="45" t="s">
        <v>86</v>
      </c>
      <c r="J15" s="45" t="s">
        <v>87</v>
      </c>
      <c r="K15" s="43" t="s">
        <v>84</v>
      </c>
      <c r="L15" s="43" t="s">
        <v>85</v>
      </c>
      <c r="M15" s="47" t="s">
        <v>46</v>
      </c>
      <c r="N15" s="43" t="s">
        <v>83</v>
      </c>
      <c r="O15" s="45">
        <v>1</v>
      </c>
      <c r="P15" s="45" t="s">
        <v>88</v>
      </c>
      <c r="Q15" s="45">
        <v>5433728399</v>
      </c>
      <c r="R15" s="45" t="s">
        <v>89</v>
      </c>
      <c r="S15" s="47">
        <v>12.01</v>
      </c>
      <c r="T15" s="47" t="s">
        <v>281</v>
      </c>
      <c r="U15" s="47">
        <v>9159918903</v>
      </c>
      <c r="V15" s="47">
        <v>9159918903</v>
      </c>
    </row>
    <row r="16" spans="1:22" ht="16.149999999999999" x14ac:dyDescent="0.7">
      <c r="A16" s="44">
        <v>15</v>
      </c>
      <c r="B16" s="49" t="s">
        <v>76</v>
      </c>
      <c r="C16" s="49" t="s">
        <v>39</v>
      </c>
      <c r="D16" s="49">
        <v>3710816734</v>
      </c>
      <c r="E16" s="50" t="str">
        <f>IF(
 MOD(SUMPRODUCT(MID(TEXT(D16,"0000000000"),{1,2,3,4,5,6,7,8,9},1)*{10,9,8,7,6,5,4,3,2}),11)
 =
 IF(RIGHT(TEXT(D16,"0000000000"),1)&lt;2, RIGHT(TEXT(D16,"0000000000"),1), 11-RIGHT(TEXT(D16,"0000000000"),1)),
"درست","اشتباه")</f>
        <v>درست</v>
      </c>
      <c r="F16" s="49" t="s">
        <v>218</v>
      </c>
      <c r="G16" s="51" t="s">
        <v>247</v>
      </c>
      <c r="H16" s="49">
        <v>13870507</v>
      </c>
      <c r="I16" s="45" t="s">
        <v>86</v>
      </c>
      <c r="J16" s="45" t="s">
        <v>87</v>
      </c>
      <c r="K16" s="43" t="s">
        <v>84</v>
      </c>
      <c r="L16" s="43" t="s">
        <v>85</v>
      </c>
      <c r="M16" s="47" t="s">
        <v>46</v>
      </c>
      <c r="N16" s="43" t="s">
        <v>83</v>
      </c>
      <c r="O16" s="45">
        <v>1</v>
      </c>
      <c r="P16" s="45" t="s">
        <v>88</v>
      </c>
      <c r="Q16" s="45">
        <v>5433728399</v>
      </c>
      <c r="R16" s="45" t="s">
        <v>89</v>
      </c>
      <c r="S16" s="45">
        <v>12.96</v>
      </c>
      <c r="T16" s="45" t="s">
        <v>248</v>
      </c>
      <c r="U16" s="45">
        <v>9151925313</v>
      </c>
      <c r="V16" s="45">
        <v>9151925313</v>
      </c>
    </row>
    <row r="17" spans="1:22" ht="16.149999999999999" x14ac:dyDescent="0.7">
      <c r="A17" s="52">
        <v>16</v>
      </c>
      <c r="B17" s="49" t="s">
        <v>194</v>
      </c>
      <c r="C17" s="49" t="s">
        <v>205</v>
      </c>
      <c r="D17" s="49">
        <v>3710801346</v>
      </c>
      <c r="E17" s="50" t="str">
        <f>IF(
 MOD(SUMPRODUCT(MID(TEXT(D17,"0000000000"),{1,2,3,4,5,6,7,8,9},1)*{10,9,8,7,6,5,4,3,2}),11)
 =
 IF(RIGHT(TEXT(D17,"0000000000"),1)&lt;2, RIGHT(TEXT(D17,"0000000000"),1), 11-RIGHT(TEXT(D17,"0000000000"),1)),
"درست","اشتباه")</f>
        <v>درست</v>
      </c>
      <c r="F17" s="49" t="s">
        <v>219</v>
      </c>
      <c r="G17" s="53" t="s">
        <v>249</v>
      </c>
      <c r="H17" s="49">
        <v>13870119</v>
      </c>
      <c r="I17" s="45" t="s">
        <v>86</v>
      </c>
      <c r="J17" s="45" t="s">
        <v>87</v>
      </c>
      <c r="K17" s="43" t="s">
        <v>84</v>
      </c>
      <c r="L17" s="43" t="s">
        <v>85</v>
      </c>
      <c r="M17" s="45" t="s">
        <v>46</v>
      </c>
      <c r="N17" s="43" t="s">
        <v>83</v>
      </c>
      <c r="O17" s="45">
        <v>1</v>
      </c>
      <c r="P17" s="45" t="s">
        <v>88</v>
      </c>
      <c r="Q17" s="45">
        <v>5433728399</v>
      </c>
      <c r="R17" s="45" t="s">
        <v>89</v>
      </c>
      <c r="S17" s="47">
        <v>14.87</v>
      </c>
      <c r="T17" s="47" t="s">
        <v>250</v>
      </c>
      <c r="U17" s="47">
        <v>9151920525</v>
      </c>
      <c r="V17" s="47">
        <v>9151920525</v>
      </c>
    </row>
    <row r="18" spans="1:22" ht="16.149999999999999" x14ac:dyDescent="0.7">
      <c r="A18" s="44">
        <v>17</v>
      </c>
      <c r="B18" s="49" t="s">
        <v>195</v>
      </c>
      <c r="C18" s="49" t="s">
        <v>206</v>
      </c>
      <c r="D18" s="49">
        <v>3710783895</v>
      </c>
      <c r="E18" s="50" t="str">
        <f>IF(
 MOD(SUMPRODUCT(MID(TEXT(D18,"0000000000"),{1,2,3,4,5,6,7,8,9},1)*{10,9,8,7,6,5,4,3,2}),11)
 =
 IF(RIGHT(TEXT(D18,"0000000000"),1)&lt;2, RIGHT(TEXT(D18,"0000000000"),1), 11-RIGHT(TEXT(D18,"0000000000"),1)),
"درست","اشتباه")</f>
        <v>درست</v>
      </c>
      <c r="F18" s="49" t="s">
        <v>220</v>
      </c>
      <c r="G18" s="53" t="s">
        <v>302</v>
      </c>
      <c r="H18" s="49">
        <v>13860813</v>
      </c>
      <c r="I18" s="45" t="s">
        <v>86</v>
      </c>
      <c r="J18" s="45" t="s">
        <v>87</v>
      </c>
      <c r="K18" s="43" t="s">
        <v>84</v>
      </c>
      <c r="L18" s="43" t="s">
        <v>85</v>
      </c>
      <c r="M18" s="45" t="s">
        <v>46</v>
      </c>
      <c r="N18" s="43" t="s">
        <v>83</v>
      </c>
      <c r="O18" s="45">
        <v>1</v>
      </c>
      <c r="P18" s="45" t="s">
        <v>88</v>
      </c>
      <c r="Q18" s="45">
        <v>5433728399</v>
      </c>
      <c r="R18" s="45" t="s">
        <v>89</v>
      </c>
      <c r="S18" s="47">
        <v>12.68</v>
      </c>
      <c r="T18" s="47" t="s">
        <v>260</v>
      </c>
      <c r="U18" s="47">
        <v>9156696384</v>
      </c>
      <c r="V18" s="47">
        <v>9156696384</v>
      </c>
    </row>
    <row r="19" spans="1:22" ht="16.149999999999999" x14ac:dyDescent="0.7">
      <c r="A19" s="52">
        <v>18</v>
      </c>
      <c r="B19" s="49" t="s">
        <v>76</v>
      </c>
      <c r="C19" s="49" t="s">
        <v>82</v>
      </c>
      <c r="D19" s="49">
        <v>3710798345</v>
      </c>
      <c r="E19" s="50" t="str">
        <f>IF(
 MOD(SUMPRODUCT(MID(TEXT(D19,"0000000000"),{1,2,3,4,5,6,7,8,9},1)*{10,9,8,7,6,5,4,3,2}),11)
 =
 IF(RIGHT(TEXT(D19,"0000000000"),1)&lt;2, RIGHT(TEXT(D19,"0000000000"),1), 11-RIGHT(TEXT(D19,"0000000000"),1)),
"درست","اشتباه")</f>
        <v>درست</v>
      </c>
      <c r="F19" s="49" t="s">
        <v>221</v>
      </c>
      <c r="G19" s="51" t="s">
        <v>254</v>
      </c>
      <c r="H19" s="49">
        <v>13861212</v>
      </c>
      <c r="I19" s="45" t="s">
        <v>86</v>
      </c>
      <c r="J19" s="45" t="s">
        <v>87</v>
      </c>
      <c r="K19" s="43" t="s">
        <v>84</v>
      </c>
      <c r="L19" s="43" t="s">
        <v>85</v>
      </c>
      <c r="M19" s="47" t="s">
        <v>46</v>
      </c>
      <c r="N19" s="43" t="s">
        <v>83</v>
      </c>
      <c r="O19" s="45">
        <v>1</v>
      </c>
      <c r="P19" s="45" t="s">
        <v>88</v>
      </c>
      <c r="Q19" s="45">
        <v>5433728399</v>
      </c>
      <c r="R19" s="45" t="s">
        <v>89</v>
      </c>
      <c r="S19" s="45">
        <v>13.89</v>
      </c>
      <c r="T19" s="45" t="s">
        <v>255</v>
      </c>
      <c r="U19" s="45">
        <v>9941954524</v>
      </c>
      <c r="V19" s="45">
        <v>9941954524</v>
      </c>
    </row>
    <row r="20" spans="1:22" ht="16.149999999999999" x14ac:dyDescent="0.7">
      <c r="A20" s="44">
        <v>19</v>
      </c>
      <c r="B20" s="49" t="s">
        <v>196</v>
      </c>
      <c r="C20" s="49" t="s">
        <v>207</v>
      </c>
      <c r="D20" s="49">
        <v>3710779227</v>
      </c>
      <c r="E20" s="50" t="str">
        <f>IF(
 MOD(SUMPRODUCT(MID(TEXT(D20,"0000000000"),{1,2,3,4,5,6,7,8,9},1)*{10,9,8,7,6,5,4,3,2}),11)
 =
 IF(RIGHT(TEXT(D20,"0000000000"),1)&lt;2, RIGHT(TEXT(D20,"0000000000"),1), 11-RIGHT(TEXT(D20,"0000000000"),1)),
"درست","اشتباه")</f>
        <v>درست</v>
      </c>
      <c r="F20" s="49" t="s">
        <v>222</v>
      </c>
      <c r="G20" s="53" t="s">
        <v>303</v>
      </c>
      <c r="H20" s="49">
        <v>13860813</v>
      </c>
      <c r="I20" s="45" t="s">
        <v>86</v>
      </c>
      <c r="J20" s="45" t="s">
        <v>87</v>
      </c>
      <c r="K20" s="43" t="s">
        <v>84</v>
      </c>
      <c r="L20" s="43" t="s">
        <v>85</v>
      </c>
      <c r="M20" s="45" t="s">
        <v>46</v>
      </c>
      <c r="N20" s="43" t="s">
        <v>83</v>
      </c>
      <c r="O20" s="45">
        <v>1</v>
      </c>
      <c r="P20" s="45" t="s">
        <v>88</v>
      </c>
      <c r="Q20" s="45">
        <v>5433728399</v>
      </c>
      <c r="R20" s="45" t="s">
        <v>89</v>
      </c>
      <c r="S20" s="47">
        <v>13.23</v>
      </c>
      <c r="T20" s="47" t="s">
        <v>304</v>
      </c>
      <c r="U20" s="47">
        <v>9152755070</v>
      </c>
      <c r="V20" s="47">
        <v>9152755070</v>
      </c>
    </row>
    <row r="21" spans="1:22" ht="16.149999999999999" x14ac:dyDescent="0.35">
      <c r="A21" s="52">
        <v>20</v>
      </c>
    </row>
    <row r="22" spans="1:22" ht="16.149999999999999" x14ac:dyDescent="0.35">
      <c r="A22" s="44">
        <v>21</v>
      </c>
    </row>
    <row r="23" spans="1:22" ht="16.149999999999999" x14ac:dyDescent="0.35">
      <c r="A23" s="52">
        <v>22</v>
      </c>
    </row>
    <row r="24" spans="1:22" ht="16.149999999999999" x14ac:dyDescent="0.7">
      <c r="A24" s="44">
        <v>23</v>
      </c>
      <c r="B24" s="45"/>
      <c r="C24" s="45"/>
      <c r="D24" s="54"/>
      <c r="E24" s="50" t="str">
        <f>IF(
 MOD(SUMPRODUCT(MID(TEXT(D24,"0000000000"),{1,2,3,4,5,6,7,8,9},1)*{10,9,8,7,6,5,4,3,2}),11)
 =
 IF(RIGHT(TEXT(D24,"0000000000"),1)&lt;2, RIGHT(TEXT(D24,"0000000000"),1), 11-RIGHT(TEXT(D24,"0000000000"),1)),
"درست","اشتباه")</f>
        <v>اشتباه</v>
      </c>
      <c r="F24" s="45"/>
      <c r="G24" s="54"/>
      <c r="H24" s="54"/>
      <c r="I24" s="45"/>
      <c r="J24" s="45"/>
      <c r="K24" s="45"/>
      <c r="L24" s="45"/>
      <c r="M24" s="45"/>
      <c r="N24" s="45"/>
      <c r="O24" s="45"/>
      <c r="P24" s="45"/>
      <c r="Q24" s="45"/>
      <c r="R24" s="45"/>
      <c r="S24" s="45"/>
      <c r="T24" s="45"/>
      <c r="U24" s="45"/>
      <c r="V24" s="46"/>
    </row>
    <row r="25" spans="1:22" ht="16.149999999999999" x14ac:dyDescent="0.7">
      <c r="A25" s="52">
        <v>24</v>
      </c>
      <c r="B25" s="47"/>
      <c r="C25" s="47"/>
      <c r="D25" s="55"/>
      <c r="E25" s="50" t="str">
        <f>IF(
 MOD(SUMPRODUCT(MID(TEXT(D25,"0000000000"),{1,2,3,4,5,6,7,8,9},1)*{10,9,8,7,6,5,4,3,2}),11)
 =
 IF(RIGHT(TEXT(D25,"0000000000"),1)&lt;2, RIGHT(TEXT(D25,"0000000000"),1), 11-RIGHT(TEXT(D25,"0000000000"),1)),
"درست","اشتباه")</f>
        <v>اشتباه</v>
      </c>
      <c r="F25" s="47"/>
      <c r="G25" s="55"/>
      <c r="H25" s="55"/>
      <c r="I25" s="47"/>
      <c r="J25" s="47"/>
      <c r="K25" s="47"/>
      <c r="L25" s="47"/>
      <c r="M25" s="47"/>
      <c r="N25" s="47"/>
      <c r="O25" s="47"/>
      <c r="P25" s="47"/>
      <c r="Q25" s="47"/>
      <c r="R25" s="47"/>
      <c r="S25" s="47"/>
      <c r="T25" s="47"/>
      <c r="U25" s="47"/>
      <c r="V25" s="48"/>
    </row>
    <row r="26" spans="1:22" ht="16.149999999999999" x14ac:dyDescent="0.7">
      <c r="A26" s="44">
        <v>25</v>
      </c>
      <c r="B26" s="45"/>
      <c r="C26" s="45"/>
      <c r="D26" s="54"/>
      <c r="E26" s="50" t="str">
        <f>IF(
 MOD(SUMPRODUCT(MID(TEXT(D26,"0000000000"),{1,2,3,4,5,6,7,8,9},1)*{10,9,8,7,6,5,4,3,2}),11)
 =
 IF(RIGHT(TEXT(D26,"0000000000"),1)&lt;2, RIGHT(TEXT(D26,"0000000000"),1), 11-RIGHT(TEXT(D26,"0000000000"),1)),
"درست","اشتباه")</f>
        <v>اشتباه</v>
      </c>
      <c r="F26" s="45"/>
      <c r="G26" s="54"/>
      <c r="H26" s="54"/>
      <c r="I26" s="45"/>
      <c r="J26" s="45"/>
      <c r="K26" s="45"/>
      <c r="L26" s="45"/>
      <c r="M26" s="45"/>
      <c r="N26" s="45"/>
      <c r="O26" s="45"/>
      <c r="P26" s="45"/>
      <c r="Q26" s="45"/>
      <c r="R26" s="45"/>
      <c r="S26" s="45"/>
      <c r="T26" s="45"/>
      <c r="U26" s="45"/>
      <c r="V26" s="46"/>
    </row>
    <row r="27" spans="1:22" ht="16.149999999999999" x14ac:dyDescent="0.7">
      <c r="A27" s="52">
        <v>26</v>
      </c>
      <c r="B27" s="47"/>
      <c r="C27" s="47"/>
      <c r="D27" s="55"/>
      <c r="E27" s="50" t="str">
        <f>IF(
 MOD(SUMPRODUCT(MID(TEXT(D27,"0000000000"),{1,2,3,4,5,6,7,8,9},1)*{10,9,8,7,6,5,4,3,2}),11)
 =
 IF(RIGHT(TEXT(D27,"0000000000"),1)&lt;2, RIGHT(TEXT(D27,"0000000000"),1), 11-RIGHT(TEXT(D27,"0000000000"),1)),
"درست","اشتباه")</f>
        <v>اشتباه</v>
      </c>
      <c r="F27" s="47"/>
      <c r="G27" s="55"/>
      <c r="H27" s="55"/>
      <c r="I27" s="47"/>
      <c r="J27" s="47"/>
      <c r="K27" s="47"/>
      <c r="L27" s="47"/>
      <c r="M27" s="47"/>
      <c r="N27" s="47"/>
      <c r="O27" s="47"/>
      <c r="P27" s="47"/>
      <c r="Q27" s="47"/>
      <c r="R27" s="47"/>
      <c r="S27" s="47"/>
      <c r="T27" s="47"/>
      <c r="U27" s="47"/>
      <c r="V27" s="48"/>
    </row>
    <row r="28" spans="1:22" ht="16.149999999999999" x14ac:dyDescent="0.7">
      <c r="A28" s="44">
        <v>27</v>
      </c>
      <c r="B28" s="45"/>
      <c r="C28" s="45"/>
      <c r="D28" s="54"/>
      <c r="E28" s="50" t="str">
        <f>IF(
 MOD(SUMPRODUCT(MID(TEXT(D28,"0000000000"),{1,2,3,4,5,6,7,8,9},1)*{10,9,8,7,6,5,4,3,2}),11)
 =
 IF(RIGHT(TEXT(D28,"0000000000"),1)&lt;2, RIGHT(TEXT(D28,"0000000000"),1), 11-RIGHT(TEXT(D28,"0000000000"),1)),
"درست","اشتباه")</f>
        <v>اشتباه</v>
      </c>
      <c r="F28" s="45"/>
      <c r="G28" s="54"/>
      <c r="H28" s="54"/>
      <c r="I28" s="45"/>
      <c r="J28" s="45"/>
      <c r="K28" s="45"/>
      <c r="L28" s="45"/>
      <c r="M28" s="45"/>
      <c r="N28" s="45"/>
      <c r="O28" s="45"/>
      <c r="P28" s="45"/>
      <c r="Q28" s="45"/>
      <c r="R28" s="45"/>
      <c r="S28" s="45"/>
      <c r="T28" s="45"/>
      <c r="U28" s="45"/>
      <c r="V28" s="46"/>
    </row>
    <row r="29" spans="1:22" ht="16.149999999999999" x14ac:dyDescent="0.7">
      <c r="A29" s="52">
        <v>28</v>
      </c>
      <c r="B29" s="47"/>
      <c r="C29" s="47"/>
      <c r="D29" s="55"/>
      <c r="E29" s="50" t="str">
        <f>IF(
 MOD(SUMPRODUCT(MID(TEXT(D29,"0000000000"),{1,2,3,4,5,6,7,8,9},1)*{10,9,8,7,6,5,4,3,2}),11)
 =
 IF(RIGHT(TEXT(D29,"0000000000"),1)&lt;2, RIGHT(TEXT(D29,"0000000000"),1), 11-RIGHT(TEXT(D29,"0000000000"),1)),
"درست","اشتباه")</f>
        <v>اشتباه</v>
      </c>
      <c r="F29" s="47"/>
      <c r="G29" s="55"/>
      <c r="H29" s="55"/>
      <c r="I29" s="47"/>
      <c r="J29" s="47"/>
      <c r="K29" s="47"/>
      <c r="L29" s="47"/>
      <c r="M29" s="47"/>
      <c r="N29" s="47"/>
      <c r="O29" s="47"/>
      <c r="P29" s="47"/>
      <c r="Q29" s="47"/>
      <c r="R29" s="47"/>
      <c r="S29" s="47"/>
      <c r="T29" s="47"/>
      <c r="U29" s="47"/>
      <c r="V29" s="48"/>
    </row>
    <row r="30" spans="1:22" ht="16.149999999999999" x14ac:dyDescent="0.7">
      <c r="A30" s="44">
        <v>29</v>
      </c>
      <c r="B30" s="45"/>
      <c r="C30" s="45"/>
      <c r="D30" s="54"/>
      <c r="E30" s="50" t="str">
        <f>IF(
 MOD(SUMPRODUCT(MID(TEXT(D30,"0000000000"),{1,2,3,4,5,6,7,8,9},1)*{10,9,8,7,6,5,4,3,2}),11)
 =
 IF(RIGHT(TEXT(D30,"0000000000"),1)&lt;2, RIGHT(TEXT(D30,"0000000000"),1), 11-RIGHT(TEXT(D30,"0000000000"),1)),
"درست","اشتباه")</f>
        <v>اشتباه</v>
      </c>
      <c r="F30" s="45"/>
      <c r="G30" s="54"/>
      <c r="H30" s="54"/>
      <c r="I30" s="45"/>
      <c r="J30" s="45"/>
      <c r="K30" s="45"/>
      <c r="L30" s="45"/>
      <c r="M30" s="45"/>
      <c r="N30" s="45"/>
      <c r="O30" s="45"/>
      <c r="P30" s="45"/>
      <c r="Q30" s="45"/>
      <c r="R30" s="45"/>
      <c r="S30" s="45"/>
      <c r="T30" s="45"/>
      <c r="U30" s="45"/>
      <c r="V30" s="46"/>
    </row>
    <row r="31" spans="1:22" ht="16.149999999999999" x14ac:dyDescent="0.7">
      <c r="A31" s="52">
        <v>30</v>
      </c>
      <c r="B31" s="47"/>
      <c r="C31" s="47"/>
      <c r="D31" s="55"/>
      <c r="E31" s="50" t="str">
        <f>IF(
 MOD(SUMPRODUCT(MID(TEXT(D31,"0000000000"),{1,2,3,4,5,6,7,8,9},1)*{10,9,8,7,6,5,4,3,2}),11)
 =
 IF(RIGHT(TEXT(D31,"0000000000"),1)&lt;2, RIGHT(TEXT(D31,"0000000000"),1), 11-RIGHT(TEXT(D31,"0000000000"),1)),
"درست","اشتباه")</f>
        <v>اشتباه</v>
      </c>
      <c r="F31" s="47"/>
      <c r="G31" s="55"/>
      <c r="H31" s="55"/>
      <c r="I31" s="47"/>
      <c r="J31" s="47"/>
      <c r="K31" s="47"/>
      <c r="L31" s="47"/>
      <c r="M31" s="47"/>
      <c r="N31" s="47"/>
      <c r="O31" s="47"/>
      <c r="P31" s="47"/>
      <c r="Q31" s="47"/>
      <c r="R31" s="47"/>
      <c r="S31" s="47"/>
      <c r="T31" s="47"/>
      <c r="U31" s="47"/>
      <c r="V31" s="48"/>
    </row>
    <row r="32" spans="1:22" ht="16.149999999999999" x14ac:dyDescent="0.7">
      <c r="A32" s="44">
        <v>31</v>
      </c>
      <c r="B32" s="45"/>
      <c r="C32" s="45"/>
      <c r="D32" s="54"/>
      <c r="E32" s="50" t="str">
        <f>IF(
 MOD(SUMPRODUCT(MID(TEXT(D32,"0000000000"),{1,2,3,4,5,6,7,8,9},1)*{10,9,8,7,6,5,4,3,2}),11)
 =
 IF(RIGHT(TEXT(D32,"0000000000"),1)&lt;2, RIGHT(TEXT(D32,"0000000000"),1), 11-RIGHT(TEXT(D32,"0000000000"),1)),
"درست","اشتباه")</f>
        <v>اشتباه</v>
      </c>
      <c r="F32" s="45"/>
      <c r="G32" s="54"/>
      <c r="H32" s="54"/>
      <c r="I32" s="45"/>
      <c r="J32" s="45"/>
      <c r="K32" s="45"/>
      <c r="L32" s="45"/>
      <c r="M32" s="45"/>
      <c r="N32" s="45"/>
      <c r="O32" s="45"/>
      <c r="P32" s="45"/>
      <c r="Q32" s="45"/>
      <c r="R32" s="45"/>
      <c r="S32" s="45"/>
      <c r="T32" s="45"/>
      <c r="U32" s="45"/>
      <c r="V32" s="46"/>
    </row>
    <row r="33" spans="1:22" ht="16.149999999999999" x14ac:dyDescent="0.7">
      <c r="A33" s="52">
        <v>32</v>
      </c>
      <c r="B33" s="47"/>
      <c r="C33" s="47"/>
      <c r="D33" s="55"/>
      <c r="E33" s="50" t="str">
        <f>IF(
 MOD(SUMPRODUCT(MID(TEXT(D33,"0000000000"),{1,2,3,4,5,6,7,8,9},1)*{10,9,8,7,6,5,4,3,2}),11)
 =
 IF(RIGHT(TEXT(D33,"0000000000"),1)&lt;2, RIGHT(TEXT(D33,"0000000000"),1), 11-RIGHT(TEXT(D33,"0000000000"),1)),
"درست","اشتباه")</f>
        <v>اشتباه</v>
      </c>
      <c r="F33" s="47"/>
      <c r="G33" s="55"/>
      <c r="H33" s="55"/>
      <c r="I33" s="47"/>
      <c r="J33" s="47"/>
      <c r="K33" s="47"/>
      <c r="L33" s="47"/>
      <c r="M33" s="47"/>
      <c r="N33" s="47"/>
      <c r="O33" s="47"/>
      <c r="P33" s="47"/>
      <c r="Q33" s="47"/>
      <c r="R33" s="47"/>
      <c r="S33" s="47"/>
      <c r="T33" s="47"/>
      <c r="U33" s="47"/>
      <c r="V33" s="48"/>
    </row>
    <row r="34" spans="1:22" ht="16.149999999999999" x14ac:dyDescent="0.7">
      <c r="A34" s="44">
        <v>33</v>
      </c>
      <c r="B34" s="45"/>
      <c r="C34" s="45"/>
      <c r="D34" s="54"/>
      <c r="E34" s="50" t="str">
        <f>IF(
 MOD(SUMPRODUCT(MID(TEXT(D34,"0000000000"),{1,2,3,4,5,6,7,8,9},1)*{10,9,8,7,6,5,4,3,2}),11)
 =
 IF(RIGHT(TEXT(D34,"0000000000"),1)&lt;2, RIGHT(TEXT(D34,"0000000000"),1), 11-RIGHT(TEXT(D34,"0000000000"),1)),
"درست","اشتباه")</f>
        <v>اشتباه</v>
      </c>
      <c r="F34" s="45"/>
      <c r="G34" s="54"/>
      <c r="H34" s="54"/>
      <c r="I34" s="45"/>
      <c r="J34" s="45"/>
      <c r="K34" s="45"/>
      <c r="L34" s="45"/>
      <c r="M34" s="45"/>
      <c r="N34" s="45"/>
      <c r="O34" s="45"/>
      <c r="P34" s="45"/>
      <c r="Q34" s="45"/>
      <c r="R34" s="45"/>
      <c r="S34" s="45"/>
      <c r="T34" s="45"/>
      <c r="U34" s="45"/>
      <c r="V34" s="46"/>
    </row>
    <row r="35" spans="1:22" ht="16.149999999999999" x14ac:dyDescent="0.7">
      <c r="A35" s="52">
        <v>34</v>
      </c>
      <c r="B35" s="47"/>
      <c r="C35" s="47"/>
      <c r="D35" s="55"/>
      <c r="E35" s="50" t="str">
        <f>IF(
 MOD(SUMPRODUCT(MID(TEXT(D35,"0000000000"),{1,2,3,4,5,6,7,8,9},1)*{10,9,8,7,6,5,4,3,2}),11)
 =
 IF(RIGHT(TEXT(D35,"0000000000"),1)&lt;2, RIGHT(TEXT(D35,"0000000000"),1), 11-RIGHT(TEXT(D35,"0000000000"),1)),
"درست","اشتباه")</f>
        <v>اشتباه</v>
      </c>
      <c r="F35" s="47"/>
      <c r="G35" s="55"/>
      <c r="H35" s="55"/>
      <c r="I35" s="47"/>
      <c r="J35" s="47"/>
      <c r="K35" s="47"/>
      <c r="L35" s="47"/>
      <c r="M35" s="47"/>
      <c r="N35" s="47"/>
      <c r="O35" s="47"/>
      <c r="P35" s="47"/>
      <c r="Q35" s="47"/>
      <c r="R35" s="47"/>
      <c r="S35" s="47"/>
      <c r="T35" s="47"/>
      <c r="U35" s="47"/>
      <c r="V35" s="48"/>
    </row>
    <row r="36" spans="1:22" ht="16.149999999999999" x14ac:dyDescent="0.7">
      <c r="A36" s="44">
        <v>35</v>
      </c>
      <c r="B36" s="45"/>
      <c r="C36" s="45"/>
      <c r="D36" s="54"/>
      <c r="E36" s="50" t="str">
        <f>IF(
 MOD(SUMPRODUCT(MID(TEXT(D36,"0000000000"),{1,2,3,4,5,6,7,8,9},1)*{10,9,8,7,6,5,4,3,2}),11)
 =
 IF(RIGHT(TEXT(D36,"0000000000"),1)&lt;2, RIGHT(TEXT(D36,"0000000000"),1), 11-RIGHT(TEXT(D36,"0000000000"),1)),
"درست","اشتباه")</f>
        <v>اشتباه</v>
      </c>
      <c r="F36" s="45"/>
      <c r="G36" s="54"/>
      <c r="H36" s="54"/>
      <c r="I36" s="45"/>
      <c r="J36" s="45"/>
      <c r="K36" s="45"/>
      <c r="L36" s="45"/>
      <c r="M36" s="45"/>
      <c r="N36" s="45"/>
      <c r="O36" s="45"/>
      <c r="P36" s="45"/>
      <c r="Q36" s="45"/>
      <c r="R36" s="45"/>
      <c r="S36" s="45"/>
      <c r="T36" s="45"/>
      <c r="U36" s="45"/>
      <c r="V36" s="46"/>
    </row>
    <row r="37" spans="1:22" ht="16.149999999999999" x14ac:dyDescent="0.7">
      <c r="A37" s="52">
        <v>36</v>
      </c>
      <c r="B37" s="47"/>
      <c r="C37" s="47"/>
      <c r="D37" s="55"/>
      <c r="E37" s="50" t="str">
        <f>IF(
 MOD(SUMPRODUCT(MID(TEXT(D37,"0000000000"),{1,2,3,4,5,6,7,8,9},1)*{10,9,8,7,6,5,4,3,2}),11)
 =
 IF(RIGHT(TEXT(D37,"0000000000"),1)&lt;2, RIGHT(TEXT(D37,"0000000000"),1), 11-RIGHT(TEXT(D37,"0000000000"),1)),
"درست","اشتباه")</f>
        <v>اشتباه</v>
      </c>
      <c r="F37" s="47"/>
      <c r="G37" s="55"/>
      <c r="H37" s="55"/>
      <c r="I37" s="47"/>
      <c r="J37" s="47"/>
      <c r="K37" s="47"/>
      <c r="L37" s="47"/>
      <c r="M37" s="47"/>
      <c r="N37" s="47"/>
      <c r="O37" s="47"/>
      <c r="P37" s="47"/>
      <c r="Q37" s="47"/>
      <c r="R37" s="47"/>
      <c r="S37" s="47"/>
      <c r="T37" s="47"/>
      <c r="U37" s="47"/>
      <c r="V37" s="48"/>
    </row>
    <row r="38" spans="1:22" ht="16.149999999999999" x14ac:dyDescent="0.7">
      <c r="A38" s="44">
        <v>37</v>
      </c>
      <c r="B38" s="45"/>
      <c r="C38" s="45"/>
      <c r="D38" s="54"/>
      <c r="E38" s="50" t="str">
        <f>IF(
 MOD(SUMPRODUCT(MID(TEXT(D38,"0000000000"),{1,2,3,4,5,6,7,8,9},1)*{10,9,8,7,6,5,4,3,2}),11)
 =
 IF(RIGHT(TEXT(D38,"0000000000"),1)&lt;2, RIGHT(TEXT(D38,"0000000000"),1), 11-RIGHT(TEXT(D38,"0000000000"),1)),
"درست","اشتباه")</f>
        <v>اشتباه</v>
      </c>
      <c r="F38" s="45"/>
      <c r="G38" s="54"/>
      <c r="H38" s="54"/>
      <c r="I38" s="45"/>
      <c r="J38" s="45"/>
      <c r="K38" s="45"/>
      <c r="L38" s="45"/>
      <c r="M38" s="45"/>
      <c r="N38" s="45"/>
      <c r="O38" s="45"/>
      <c r="P38" s="45"/>
      <c r="Q38" s="45"/>
      <c r="R38" s="45"/>
      <c r="S38" s="45"/>
      <c r="T38" s="45"/>
      <c r="U38" s="45"/>
      <c r="V38" s="46"/>
    </row>
    <row r="39" spans="1:22" ht="16.149999999999999" x14ac:dyDescent="0.7">
      <c r="A39" s="52">
        <v>38</v>
      </c>
      <c r="B39" s="47"/>
      <c r="C39" s="47"/>
      <c r="D39" s="55"/>
      <c r="E39" s="50" t="str">
        <f>IF(
 MOD(SUMPRODUCT(MID(TEXT(D39,"0000000000"),{1,2,3,4,5,6,7,8,9},1)*{10,9,8,7,6,5,4,3,2}),11)
 =
 IF(RIGHT(TEXT(D39,"0000000000"),1)&lt;2, RIGHT(TEXT(D39,"0000000000"),1), 11-RIGHT(TEXT(D39,"0000000000"),1)),
"درست","اشتباه")</f>
        <v>اشتباه</v>
      </c>
      <c r="F39" s="47"/>
      <c r="G39" s="55"/>
      <c r="H39" s="55"/>
      <c r="I39" s="47"/>
      <c r="J39" s="47"/>
      <c r="K39" s="47"/>
      <c r="L39" s="47"/>
      <c r="M39" s="47"/>
      <c r="N39" s="47"/>
      <c r="O39" s="47"/>
      <c r="P39" s="47"/>
      <c r="Q39" s="47"/>
      <c r="R39" s="47"/>
      <c r="S39" s="47"/>
      <c r="T39" s="47"/>
      <c r="U39" s="47"/>
      <c r="V39" s="48"/>
    </row>
    <row r="40" spans="1:22" ht="16.149999999999999" x14ac:dyDescent="0.7">
      <c r="A40" s="44">
        <v>39</v>
      </c>
      <c r="B40" s="45"/>
      <c r="C40" s="45"/>
      <c r="D40" s="54"/>
      <c r="E40" s="50" t="str">
        <f>IF(
 MOD(SUMPRODUCT(MID(TEXT(D40,"0000000000"),{1,2,3,4,5,6,7,8,9},1)*{10,9,8,7,6,5,4,3,2}),11)
 =
 IF(RIGHT(TEXT(D40,"0000000000"),1)&lt;2, RIGHT(TEXT(D40,"0000000000"),1), 11-RIGHT(TEXT(D40,"0000000000"),1)),
"درست","اشتباه")</f>
        <v>اشتباه</v>
      </c>
      <c r="F40" s="45"/>
      <c r="G40" s="54"/>
      <c r="H40" s="54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  <c r="U40" s="45"/>
      <c r="V40" s="46"/>
    </row>
    <row r="41" spans="1:22" ht="16.149999999999999" x14ac:dyDescent="0.7">
      <c r="A41" s="52">
        <v>40</v>
      </c>
      <c r="B41" s="47"/>
      <c r="C41" s="47"/>
      <c r="D41" s="55"/>
      <c r="E41" s="50" t="str">
        <f>IF(
 MOD(SUMPRODUCT(MID(TEXT(D41,"0000000000"),{1,2,3,4,5,6,7,8,9},1)*{10,9,8,7,6,5,4,3,2}),11)
 =
 IF(RIGHT(TEXT(D41,"0000000000"),1)&lt;2, RIGHT(TEXT(D41,"0000000000"),1), 11-RIGHT(TEXT(D41,"0000000000"),1)),
"درست","اشتباه")</f>
        <v>اشتباه</v>
      </c>
      <c r="F41" s="47"/>
      <c r="G41" s="55"/>
      <c r="H41" s="55"/>
      <c r="I41" s="47"/>
      <c r="J41" s="47"/>
      <c r="K41" s="47"/>
      <c r="L41" s="47"/>
      <c r="M41" s="47"/>
      <c r="N41" s="47"/>
      <c r="O41" s="47"/>
      <c r="P41" s="47"/>
      <c r="Q41" s="47"/>
      <c r="R41" s="47"/>
      <c r="S41" s="47"/>
      <c r="T41" s="47"/>
      <c r="U41" s="47"/>
      <c r="V41" s="48"/>
    </row>
    <row r="42" spans="1:22" ht="16.149999999999999" x14ac:dyDescent="0.7">
      <c r="A42" s="44">
        <v>41</v>
      </c>
      <c r="B42" s="45"/>
      <c r="C42" s="45"/>
      <c r="D42" s="54"/>
      <c r="E42" s="50" t="str">
        <f>IF(
 MOD(SUMPRODUCT(MID(TEXT(D42,"0000000000"),{1,2,3,4,5,6,7,8,9},1)*{10,9,8,7,6,5,4,3,2}),11)
 =
 IF(RIGHT(TEXT(D42,"0000000000"),1)&lt;2, RIGHT(TEXT(D42,"0000000000"),1), 11-RIGHT(TEXT(D42,"0000000000"),1)),
"درست","اشتباه")</f>
        <v>اشتباه</v>
      </c>
      <c r="F42" s="45"/>
      <c r="G42" s="54"/>
      <c r="H42" s="54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  <c r="U42" s="45"/>
      <c r="V42" s="46"/>
    </row>
    <row r="43" spans="1:22" ht="16.149999999999999" x14ac:dyDescent="0.7">
      <c r="A43" s="52">
        <v>42</v>
      </c>
      <c r="B43" s="47"/>
      <c r="C43" s="47"/>
      <c r="D43" s="55"/>
      <c r="E43" s="50" t="str">
        <f>IF(
 MOD(SUMPRODUCT(MID(TEXT(D43,"0000000000"),{1,2,3,4,5,6,7,8,9},1)*{10,9,8,7,6,5,4,3,2}),11)
 =
 IF(RIGHT(TEXT(D43,"0000000000"),1)&lt;2, RIGHT(TEXT(D43,"0000000000"),1), 11-RIGHT(TEXT(D43,"0000000000"),1)),
"درست","اشتباه")</f>
        <v>اشتباه</v>
      </c>
      <c r="F43" s="47"/>
      <c r="G43" s="55"/>
      <c r="H43" s="55"/>
      <c r="I43" s="47"/>
      <c r="J43" s="47"/>
      <c r="K43" s="47"/>
      <c r="L43" s="47"/>
      <c r="M43" s="47"/>
      <c r="N43" s="47"/>
      <c r="O43" s="47"/>
      <c r="P43" s="47"/>
      <c r="Q43" s="47"/>
      <c r="R43" s="47"/>
      <c r="S43" s="47"/>
      <c r="T43" s="47"/>
      <c r="U43" s="47"/>
      <c r="V43" s="48"/>
    </row>
    <row r="44" spans="1:22" ht="16.149999999999999" x14ac:dyDescent="0.7">
      <c r="A44" s="44">
        <v>43</v>
      </c>
      <c r="B44" s="45"/>
      <c r="C44" s="45"/>
      <c r="D44" s="54"/>
      <c r="E44" s="50" t="str">
        <f>IF(
 MOD(SUMPRODUCT(MID(TEXT(D44,"0000000000"),{1,2,3,4,5,6,7,8,9},1)*{10,9,8,7,6,5,4,3,2}),11)
 =
 IF(RIGHT(TEXT(D44,"0000000000"),1)&lt;2, RIGHT(TEXT(D44,"0000000000"),1), 11-RIGHT(TEXT(D44,"0000000000"),1)),
"درست","اشتباه")</f>
        <v>اشتباه</v>
      </c>
      <c r="F44" s="45"/>
      <c r="G44" s="54"/>
      <c r="H44" s="54"/>
      <c r="I44" s="45"/>
      <c r="J44" s="45"/>
      <c r="K44" s="45"/>
      <c r="L44" s="45"/>
      <c r="M44" s="45"/>
      <c r="N44" s="45"/>
      <c r="O44" s="45"/>
      <c r="P44" s="45"/>
      <c r="Q44" s="45"/>
      <c r="R44" s="45"/>
      <c r="S44" s="45"/>
      <c r="T44" s="45"/>
      <c r="U44" s="45"/>
      <c r="V44" s="46"/>
    </row>
    <row r="45" spans="1:22" ht="16.149999999999999" x14ac:dyDescent="0.7">
      <c r="A45" s="52">
        <v>44</v>
      </c>
      <c r="B45" s="47"/>
      <c r="C45" s="47"/>
      <c r="D45" s="55"/>
      <c r="E45" s="50" t="str">
        <f>IF(
 MOD(SUMPRODUCT(MID(TEXT(D45,"0000000000"),{1,2,3,4,5,6,7,8,9},1)*{10,9,8,7,6,5,4,3,2}),11)
 =
 IF(RIGHT(TEXT(D45,"0000000000"),1)&lt;2, RIGHT(TEXT(D45,"0000000000"),1), 11-RIGHT(TEXT(D45,"0000000000"),1)),
"درست","اشتباه")</f>
        <v>اشتباه</v>
      </c>
      <c r="F45" s="47"/>
      <c r="G45" s="55"/>
      <c r="H45" s="55"/>
      <c r="I45" s="47"/>
      <c r="J45" s="47"/>
      <c r="K45" s="47"/>
      <c r="L45" s="47"/>
      <c r="M45" s="47"/>
      <c r="N45" s="47"/>
      <c r="O45" s="47"/>
      <c r="P45" s="47"/>
      <c r="Q45" s="47"/>
      <c r="R45" s="47"/>
      <c r="S45" s="47"/>
      <c r="T45" s="47"/>
      <c r="U45" s="47"/>
      <c r="V45" s="48"/>
    </row>
    <row r="46" spans="1:22" ht="16.149999999999999" x14ac:dyDescent="0.7">
      <c r="A46" s="44">
        <v>45</v>
      </c>
      <c r="B46" s="45"/>
      <c r="C46" s="45"/>
      <c r="D46" s="54"/>
      <c r="E46" s="50" t="str">
        <f>IF(
 MOD(SUMPRODUCT(MID(TEXT(D46,"0000000000"),{1,2,3,4,5,6,7,8,9},1)*{10,9,8,7,6,5,4,3,2}),11)
 =
 IF(RIGHT(TEXT(D46,"0000000000"),1)&lt;2, RIGHT(TEXT(D46,"0000000000"),1), 11-RIGHT(TEXT(D46,"0000000000"),1)),
"درست","اشتباه")</f>
        <v>اشتباه</v>
      </c>
      <c r="F46" s="45"/>
      <c r="G46" s="54"/>
      <c r="H46" s="54"/>
      <c r="I46" s="45"/>
      <c r="J46" s="45"/>
      <c r="K46" s="45"/>
      <c r="L46" s="45"/>
      <c r="M46" s="45"/>
      <c r="N46" s="45"/>
      <c r="O46" s="45"/>
      <c r="P46" s="45"/>
      <c r="Q46" s="45"/>
      <c r="R46" s="45"/>
      <c r="S46" s="45"/>
      <c r="T46" s="45"/>
      <c r="U46" s="45"/>
      <c r="V46" s="46"/>
    </row>
    <row r="47" spans="1:22" ht="16.149999999999999" x14ac:dyDescent="0.7">
      <c r="A47" s="52">
        <v>46</v>
      </c>
      <c r="B47" s="47"/>
      <c r="C47" s="47"/>
      <c r="D47" s="55"/>
      <c r="E47" s="50" t="str">
        <f>IF(
 MOD(SUMPRODUCT(MID(TEXT(D47,"0000000000"),{1,2,3,4,5,6,7,8,9},1)*{10,9,8,7,6,5,4,3,2}),11)
 =
 IF(RIGHT(TEXT(D47,"0000000000"),1)&lt;2, RIGHT(TEXT(D47,"0000000000"),1), 11-RIGHT(TEXT(D47,"0000000000"),1)),
"درست","اشتباه")</f>
        <v>اشتباه</v>
      </c>
      <c r="F47" s="47"/>
      <c r="G47" s="55"/>
      <c r="H47" s="55"/>
      <c r="I47" s="47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8"/>
    </row>
    <row r="48" spans="1:22" ht="16.149999999999999" x14ac:dyDescent="0.7">
      <c r="A48" s="44">
        <v>47</v>
      </c>
      <c r="B48" s="45"/>
      <c r="C48" s="45"/>
      <c r="D48" s="54"/>
      <c r="E48" s="50" t="str">
        <f>IF(
 MOD(SUMPRODUCT(MID(TEXT(D48,"0000000000"),{1,2,3,4,5,6,7,8,9},1)*{10,9,8,7,6,5,4,3,2}),11)
 =
 IF(RIGHT(TEXT(D48,"0000000000"),1)&lt;2, RIGHT(TEXT(D48,"0000000000"),1), 11-RIGHT(TEXT(D48,"0000000000"),1)),
"درست","اشتباه")</f>
        <v>اشتباه</v>
      </c>
      <c r="F48" s="45"/>
      <c r="G48" s="54"/>
      <c r="H48" s="54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6"/>
    </row>
    <row r="49" spans="1:22" ht="16.149999999999999" x14ac:dyDescent="0.7">
      <c r="A49" s="52">
        <v>48</v>
      </c>
      <c r="B49" s="47"/>
      <c r="C49" s="47"/>
      <c r="D49" s="55"/>
      <c r="E49" s="50" t="str">
        <f>IF(
 MOD(SUMPRODUCT(MID(TEXT(D49,"0000000000"),{1,2,3,4,5,6,7,8,9},1)*{10,9,8,7,6,5,4,3,2}),11)
 =
 IF(RIGHT(TEXT(D49,"0000000000"),1)&lt;2, RIGHT(TEXT(D49,"0000000000"),1), 11-RIGHT(TEXT(D49,"0000000000"),1)),
"درست","اشتباه")</f>
        <v>اشتباه</v>
      </c>
      <c r="F49" s="47"/>
      <c r="G49" s="55"/>
      <c r="H49" s="55"/>
      <c r="I49" s="47"/>
      <c r="J49" s="47"/>
      <c r="K49" s="47"/>
      <c r="L49" s="47"/>
      <c r="M49" s="47"/>
      <c r="N49" s="47"/>
      <c r="O49" s="47"/>
      <c r="P49" s="47"/>
      <c r="Q49" s="47"/>
      <c r="R49" s="47"/>
      <c r="S49" s="47"/>
      <c r="T49" s="47"/>
      <c r="U49" s="47"/>
      <c r="V49" s="48"/>
    </row>
    <row r="50" spans="1:22" ht="16.149999999999999" x14ac:dyDescent="0.7">
      <c r="A50" s="44">
        <v>49</v>
      </c>
      <c r="B50" s="45"/>
      <c r="C50" s="45"/>
      <c r="D50" s="54"/>
      <c r="E50" s="50" t="str">
        <f>IF(
 MOD(SUMPRODUCT(MID(TEXT(D50,"0000000000"),{1,2,3,4,5,6,7,8,9},1)*{10,9,8,7,6,5,4,3,2}),11)
 =
 IF(RIGHT(TEXT(D50,"0000000000"),1)&lt;2, RIGHT(TEXT(D50,"0000000000"),1), 11-RIGHT(TEXT(D50,"0000000000"),1)),
"درست","اشتباه")</f>
        <v>اشتباه</v>
      </c>
      <c r="F50" s="45"/>
      <c r="G50" s="54"/>
      <c r="H50" s="54"/>
      <c r="I50" s="45"/>
      <c r="J50" s="45"/>
      <c r="K50" s="45"/>
      <c r="L50" s="45"/>
      <c r="M50" s="45"/>
      <c r="N50" s="45"/>
      <c r="O50" s="45"/>
      <c r="P50" s="45"/>
      <c r="Q50" s="45"/>
      <c r="R50" s="45"/>
      <c r="S50" s="45"/>
      <c r="T50" s="45"/>
      <c r="U50" s="45"/>
      <c r="V50" s="46"/>
    </row>
    <row r="51" spans="1:22" ht="16.149999999999999" x14ac:dyDescent="0.7">
      <c r="A51" s="52">
        <v>50</v>
      </c>
      <c r="B51" s="47"/>
      <c r="C51" s="47"/>
      <c r="D51" s="55"/>
      <c r="E51" s="50" t="str">
        <f>IF(
 MOD(SUMPRODUCT(MID(TEXT(D51,"0000000000"),{1,2,3,4,5,6,7,8,9},1)*{10,9,8,7,6,5,4,3,2}),11)
 =
 IF(RIGHT(TEXT(D51,"0000000000"),1)&lt;2, RIGHT(TEXT(D51,"0000000000"),1), 11-RIGHT(TEXT(D51,"0000000000"),1)),
"درست","اشتباه")</f>
        <v>اشتباه</v>
      </c>
      <c r="F51" s="47"/>
      <c r="G51" s="55"/>
      <c r="H51" s="55"/>
      <c r="I51" s="47"/>
      <c r="J51" s="47"/>
      <c r="K51" s="47"/>
      <c r="L51" s="47"/>
      <c r="M51" s="47"/>
      <c r="N51" s="47"/>
      <c r="O51" s="47"/>
      <c r="P51" s="47"/>
      <c r="Q51" s="47"/>
      <c r="R51" s="47"/>
      <c r="S51" s="47"/>
      <c r="T51" s="47"/>
      <c r="U51" s="47"/>
      <c r="V51" s="48"/>
    </row>
    <row r="52" spans="1:22" ht="16.149999999999999" x14ac:dyDescent="0.7">
      <c r="A52" s="44">
        <v>51</v>
      </c>
      <c r="B52" s="45"/>
      <c r="C52" s="45"/>
      <c r="D52" s="54"/>
      <c r="E52" s="50" t="str">
        <f>IF(
 MOD(SUMPRODUCT(MID(TEXT(D52,"0000000000"),{1,2,3,4,5,6,7,8,9},1)*{10,9,8,7,6,5,4,3,2}),11)
 =
 IF(RIGHT(TEXT(D52,"0000000000"),1)&lt;2, RIGHT(TEXT(D52,"0000000000"),1), 11-RIGHT(TEXT(D52,"0000000000"),1)),
"درست","اشتباه")</f>
        <v>اشتباه</v>
      </c>
      <c r="F52" s="45"/>
      <c r="G52" s="54"/>
      <c r="H52" s="54"/>
      <c r="I52" s="45"/>
      <c r="J52" s="45"/>
      <c r="K52" s="45"/>
      <c r="L52" s="45"/>
      <c r="M52" s="45"/>
      <c r="N52" s="45"/>
      <c r="O52" s="45"/>
      <c r="P52" s="45"/>
      <c r="Q52" s="45"/>
      <c r="R52" s="45"/>
      <c r="S52" s="45"/>
      <c r="T52" s="45"/>
      <c r="U52" s="45"/>
      <c r="V52" s="46"/>
    </row>
    <row r="53" spans="1:22" ht="16.149999999999999" x14ac:dyDescent="0.7">
      <c r="A53" s="52">
        <v>52</v>
      </c>
      <c r="B53" s="47"/>
      <c r="C53" s="47"/>
      <c r="D53" s="55"/>
      <c r="E53" s="50" t="str">
        <f>IF(
 MOD(SUMPRODUCT(MID(TEXT(D53,"0000000000"),{1,2,3,4,5,6,7,8,9},1)*{10,9,8,7,6,5,4,3,2}),11)
 =
 IF(RIGHT(TEXT(D53,"0000000000"),1)&lt;2, RIGHT(TEXT(D53,"0000000000"),1), 11-RIGHT(TEXT(D53,"0000000000"),1)),
"درست","اشتباه")</f>
        <v>اشتباه</v>
      </c>
      <c r="F53" s="47"/>
      <c r="G53" s="55"/>
      <c r="H53" s="55"/>
      <c r="I53" s="47"/>
      <c r="J53" s="47"/>
      <c r="K53" s="47"/>
      <c r="L53" s="47"/>
      <c r="M53" s="47"/>
      <c r="N53" s="47"/>
      <c r="O53" s="47"/>
      <c r="P53" s="47"/>
      <c r="Q53" s="47"/>
      <c r="R53" s="47"/>
      <c r="S53" s="47"/>
      <c r="T53" s="47"/>
      <c r="U53" s="47"/>
      <c r="V53" s="48"/>
    </row>
    <row r="54" spans="1:22" ht="16.149999999999999" x14ac:dyDescent="0.7">
      <c r="A54" s="44">
        <v>53</v>
      </c>
      <c r="B54" s="45"/>
      <c r="C54" s="45"/>
      <c r="D54" s="54"/>
      <c r="E54" s="50" t="str">
        <f>IF(
 MOD(SUMPRODUCT(MID(TEXT(D54,"0000000000"),{1,2,3,4,5,6,7,8,9},1)*{10,9,8,7,6,5,4,3,2}),11)
 =
 IF(RIGHT(TEXT(D54,"0000000000"),1)&lt;2, RIGHT(TEXT(D54,"0000000000"),1), 11-RIGHT(TEXT(D54,"0000000000"),1)),
"درست","اشتباه")</f>
        <v>اشتباه</v>
      </c>
      <c r="F54" s="45"/>
      <c r="G54" s="54"/>
      <c r="H54" s="54"/>
      <c r="I54" s="45"/>
      <c r="J54" s="45"/>
      <c r="K54" s="45"/>
      <c r="L54" s="45"/>
      <c r="M54" s="45"/>
      <c r="N54" s="45"/>
      <c r="O54" s="45"/>
      <c r="P54" s="45"/>
      <c r="Q54" s="45"/>
      <c r="R54" s="45"/>
      <c r="S54" s="45"/>
      <c r="T54" s="45"/>
      <c r="U54" s="45"/>
      <c r="V54" s="46"/>
    </row>
    <row r="55" spans="1:22" ht="16.149999999999999" x14ac:dyDescent="0.7">
      <c r="A55" s="52">
        <v>54</v>
      </c>
      <c r="B55" s="47"/>
      <c r="C55" s="47"/>
      <c r="D55" s="55"/>
      <c r="E55" s="50" t="str">
        <f>IF(
 MOD(SUMPRODUCT(MID(TEXT(D55,"0000000000"),{1,2,3,4,5,6,7,8,9},1)*{10,9,8,7,6,5,4,3,2}),11)
 =
 IF(RIGHT(TEXT(D55,"0000000000"),1)&lt;2, RIGHT(TEXT(D55,"0000000000"),1), 11-RIGHT(TEXT(D55,"0000000000"),1)),
"درست","اشتباه")</f>
        <v>اشتباه</v>
      </c>
      <c r="F55" s="47"/>
      <c r="G55" s="55"/>
      <c r="H55" s="55"/>
      <c r="I55" s="47"/>
      <c r="J55" s="47"/>
      <c r="K55" s="47"/>
      <c r="L55" s="47"/>
      <c r="M55" s="47"/>
      <c r="N55" s="47"/>
      <c r="O55" s="47"/>
      <c r="P55" s="47"/>
      <c r="Q55" s="47"/>
      <c r="R55" s="47"/>
      <c r="S55" s="47"/>
      <c r="T55" s="47"/>
      <c r="U55" s="47"/>
      <c r="V55" s="48"/>
    </row>
    <row r="56" spans="1:22" ht="16.149999999999999" x14ac:dyDescent="0.7">
      <c r="A56" s="44">
        <v>55</v>
      </c>
      <c r="B56" s="45"/>
      <c r="C56" s="45"/>
      <c r="D56" s="54"/>
      <c r="E56" s="50" t="str">
        <f>IF(
 MOD(SUMPRODUCT(MID(TEXT(D56,"0000000000"),{1,2,3,4,5,6,7,8,9},1)*{10,9,8,7,6,5,4,3,2}),11)
 =
 IF(RIGHT(TEXT(D56,"0000000000"),1)&lt;2, RIGHT(TEXT(D56,"0000000000"),1), 11-RIGHT(TEXT(D56,"0000000000"),1)),
"درست","اشتباه")</f>
        <v>اشتباه</v>
      </c>
      <c r="F56" s="45"/>
      <c r="G56" s="54"/>
      <c r="H56" s="54"/>
      <c r="I56" s="45"/>
      <c r="J56" s="45"/>
      <c r="K56" s="45"/>
      <c r="L56" s="45"/>
      <c r="M56" s="45"/>
      <c r="N56" s="45"/>
      <c r="O56" s="45"/>
      <c r="P56" s="45"/>
      <c r="Q56" s="45"/>
      <c r="R56" s="45"/>
      <c r="S56" s="45"/>
      <c r="T56" s="45"/>
      <c r="U56" s="45"/>
      <c r="V56" s="46"/>
    </row>
    <row r="57" spans="1:22" ht="16.149999999999999" x14ac:dyDescent="0.7">
      <c r="A57" s="52">
        <v>56</v>
      </c>
      <c r="B57" s="47"/>
      <c r="C57" s="47"/>
      <c r="D57" s="55"/>
      <c r="E57" s="50" t="str">
        <f>IF(
 MOD(SUMPRODUCT(MID(TEXT(D57,"0000000000"),{1,2,3,4,5,6,7,8,9},1)*{10,9,8,7,6,5,4,3,2}),11)
 =
 IF(RIGHT(TEXT(D57,"0000000000"),1)&lt;2, RIGHT(TEXT(D57,"0000000000"),1), 11-RIGHT(TEXT(D57,"0000000000"),1)),
"درست","اشتباه")</f>
        <v>اشتباه</v>
      </c>
      <c r="F57" s="47"/>
      <c r="G57" s="55"/>
      <c r="H57" s="55"/>
      <c r="I57" s="47"/>
      <c r="J57" s="47"/>
      <c r="K57" s="47"/>
      <c r="L57" s="47"/>
      <c r="M57" s="47"/>
      <c r="N57" s="47"/>
      <c r="O57" s="47"/>
      <c r="P57" s="47"/>
      <c r="Q57" s="47"/>
      <c r="R57" s="47"/>
      <c r="S57" s="47"/>
      <c r="T57" s="47"/>
      <c r="U57" s="47"/>
      <c r="V57" s="48"/>
    </row>
    <row r="58" spans="1:22" ht="16.149999999999999" x14ac:dyDescent="0.7">
      <c r="A58" s="44">
        <v>57</v>
      </c>
      <c r="B58" s="45"/>
      <c r="C58" s="45"/>
      <c r="D58" s="54"/>
      <c r="E58" s="50" t="str">
        <f>IF(
 MOD(SUMPRODUCT(MID(TEXT(D58,"0000000000"),{1,2,3,4,5,6,7,8,9},1)*{10,9,8,7,6,5,4,3,2}),11)
 =
 IF(RIGHT(TEXT(D58,"0000000000"),1)&lt;2, RIGHT(TEXT(D58,"0000000000"),1), 11-RIGHT(TEXT(D58,"0000000000"),1)),
"درست","اشتباه")</f>
        <v>اشتباه</v>
      </c>
      <c r="F58" s="45"/>
      <c r="G58" s="54"/>
      <c r="H58" s="54"/>
      <c r="I58" s="45"/>
      <c r="J58" s="45"/>
      <c r="K58" s="45"/>
      <c r="L58" s="45"/>
      <c r="M58" s="45"/>
      <c r="N58" s="45"/>
      <c r="O58" s="45"/>
      <c r="P58" s="45"/>
      <c r="Q58" s="45"/>
      <c r="R58" s="45"/>
      <c r="S58" s="45"/>
      <c r="T58" s="45"/>
      <c r="U58" s="45"/>
      <c r="V58" s="46"/>
    </row>
    <row r="59" spans="1:22" ht="16.149999999999999" x14ac:dyDescent="0.7">
      <c r="A59" s="52">
        <v>58</v>
      </c>
      <c r="B59" s="47"/>
      <c r="C59" s="47"/>
      <c r="D59" s="55"/>
      <c r="E59" s="50" t="str">
        <f>IF(
 MOD(SUMPRODUCT(MID(TEXT(D59,"0000000000"),{1,2,3,4,5,6,7,8,9},1)*{10,9,8,7,6,5,4,3,2}),11)
 =
 IF(RIGHT(TEXT(D59,"0000000000"),1)&lt;2, RIGHT(TEXT(D59,"0000000000"),1), 11-RIGHT(TEXT(D59,"0000000000"),1)),
"درست","اشتباه")</f>
        <v>اشتباه</v>
      </c>
      <c r="F59" s="47"/>
      <c r="G59" s="55"/>
      <c r="H59" s="55"/>
      <c r="I59" s="47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8"/>
    </row>
    <row r="60" spans="1:22" ht="16.149999999999999" x14ac:dyDescent="0.7">
      <c r="A60" s="44">
        <v>59</v>
      </c>
      <c r="B60" s="45"/>
      <c r="C60" s="45"/>
      <c r="D60" s="54"/>
      <c r="E60" s="50" t="str">
        <f>IF(
 MOD(SUMPRODUCT(MID(TEXT(D60,"0000000000"),{1,2,3,4,5,6,7,8,9},1)*{10,9,8,7,6,5,4,3,2}),11)
 =
 IF(RIGHT(TEXT(D60,"0000000000"),1)&lt;2, RIGHT(TEXT(D60,"0000000000"),1), 11-RIGHT(TEXT(D60,"0000000000"),1)),
"درست","اشتباه")</f>
        <v>اشتباه</v>
      </c>
      <c r="F60" s="45"/>
      <c r="G60" s="54"/>
      <c r="H60" s="54"/>
      <c r="I60" s="45"/>
      <c r="J60" s="45"/>
      <c r="K60" s="45"/>
      <c r="L60" s="45"/>
      <c r="M60" s="45"/>
      <c r="N60" s="45"/>
      <c r="O60" s="45"/>
      <c r="P60" s="45"/>
      <c r="Q60" s="45"/>
      <c r="R60" s="45"/>
      <c r="S60" s="45"/>
      <c r="T60" s="45"/>
      <c r="U60" s="45"/>
      <c r="V60" s="46"/>
    </row>
    <row r="61" spans="1:22" ht="16.149999999999999" x14ac:dyDescent="0.7">
      <c r="A61" s="52">
        <v>60</v>
      </c>
      <c r="B61" s="47"/>
      <c r="C61" s="47"/>
      <c r="D61" s="55"/>
      <c r="E61" s="50" t="str">
        <f>IF(
 MOD(SUMPRODUCT(MID(TEXT(D61,"0000000000"),{1,2,3,4,5,6,7,8,9},1)*{10,9,8,7,6,5,4,3,2}),11)
 =
 IF(RIGHT(TEXT(D61,"0000000000"),1)&lt;2, RIGHT(TEXT(D61,"0000000000"),1), 11-RIGHT(TEXT(D61,"0000000000"),1)),
"درست","اشتباه")</f>
        <v>اشتباه</v>
      </c>
      <c r="F61" s="47"/>
      <c r="G61" s="55"/>
      <c r="H61" s="55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7"/>
      <c r="T61" s="47"/>
      <c r="U61" s="47"/>
      <c r="V61" s="48"/>
    </row>
    <row r="62" spans="1:22" ht="16.149999999999999" x14ac:dyDescent="0.7">
      <c r="A62" s="44">
        <v>61</v>
      </c>
      <c r="B62" s="45"/>
      <c r="C62" s="45"/>
      <c r="D62" s="54"/>
      <c r="E62" s="50" t="str">
        <f>IF(
 MOD(SUMPRODUCT(MID(TEXT(D62,"0000000000"),{1,2,3,4,5,6,7,8,9},1)*{10,9,8,7,6,5,4,3,2}),11)
 =
 IF(RIGHT(TEXT(D62,"0000000000"),1)&lt;2, RIGHT(TEXT(D62,"0000000000"),1), 11-RIGHT(TEXT(D62,"0000000000"),1)),
"درست","اشتباه")</f>
        <v>اشتباه</v>
      </c>
      <c r="F62" s="45"/>
      <c r="G62" s="54"/>
      <c r="H62" s="54"/>
      <c r="I62" s="45"/>
      <c r="J62" s="45"/>
      <c r="K62" s="45"/>
      <c r="L62" s="45"/>
      <c r="M62" s="45"/>
      <c r="N62" s="45"/>
      <c r="O62" s="45"/>
      <c r="P62" s="45"/>
      <c r="Q62" s="45"/>
      <c r="R62" s="45"/>
      <c r="S62" s="45"/>
      <c r="T62" s="45"/>
      <c r="U62" s="45"/>
      <c r="V62" s="46"/>
    </row>
    <row r="63" spans="1:22" ht="16.149999999999999" x14ac:dyDescent="0.7">
      <c r="A63" s="52">
        <v>62</v>
      </c>
      <c r="B63" s="47"/>
      <c r="C63" s="47"/>
      <c r="D63" s="55"/>
      <c r="E63" s="50" t="str">
        <f>IF(
 MOD(SUMPRODUCT(MID(TEXT(D63,"0000000000"),{1,2,3,4,5,6,7,8,9},1)*{10,9,8,7,6,5,4,3,2}),11)
 =
 IF(RIGHT(TEXT(D63,"0000000000"),1)&lt;2, RIGHT(TEXT(D63,"0000000000"),1), 11-RIGHT(TEXT(D63,"0000000000"),1)),
"درست","اشتباه")</f>
        <v>اشتباه</v>
      </c>
      <c r="F63" s="47"/>
      <c r="G63" s="55"/>
      <c r="H63" s="55"/>
      <c r="I63" s="47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8"/>
    </row>
    <row r="64" spans="1:22" ht="16.149999999999999" x14ac:dyDescent="0.7">
      <c r="A64" s="44">
        <v>63</v>
      </c>
      <c r="B64" s="45"/>
      <c r="C64" s="45"/>
      <c r="D64" s="54"/>
      <c r="E64" s="50" t="str">
        <f>IF(
 MOD(SUMPRODUCT(MID(TEXT(D64,"0000000000"),{1,2,3,4,5,6,7,8,9},1)*{10,9,8,7,6,5,4,3,2}),11)
 =
 IF(RIGHT(TEXT(D64,"0000000000"),1)&lt;2, RIGHT(TEXT(D64,"0000000000"),1), 11-RIGHT(TEXT(D64,"0000000000"),1)),
"درست","اشتباه")</f>
        <v>اشتباه</v>
      </c>
      <c r="F64" s="45"/>
      <c r="G64" s="54"/>
      <c r="H64" s="54"/>
      <c r="I64" s="45"/>
      <c r="J64" s="45"/>
      <c r="K64" s="45"/>
      <c r="L64" s="45"/>
      <c r="M64" s="45"/>
      <c r="N64" s="45"/>
      <c r="O64" s="45"/>
      <c r="P64" s="45"/>
      <c r="Q64" s="45"/>
      <c r="R64" s="45"/>
      <c r="S64" s="45"/>
      <c r="T64" s="45"/>
      <c r="U64" s="45"/>
      <c r="V64" s="46"/>
    </row>
    <row r="65" spans="1:22" ht="16.149999999999999" x14ac:dyDescent="0.7">
      <c r="A65" s="52">
        <v>64</v>
      </c>
      <c r="B65" s="47"/>
      <c r="C65" s="47"/>
      <c r="D65" s="55"/>
      <c r="E65" s="50" t="str">
        <f>IF(
 MOD(SUMPRODUCT(MID(TEXT(D65,"0000000000"),{1,2,3,4,5,6,7,8,9},1)*{10,9,8,7,6,5,4,3,2}),11)
 =
 IF(RIGHT(TEXT(D65,"0000000000"),1)&lt;2, RIGHT(TEXT(D65,"0000000000"),1), 11-RIGHT(TEXT(D65,"0000000000"),1)),
"درست","اشتباه")</f>
        <v>اشتباه</v>
      </c>
      <c r="F65" s="47"/>
      <c r="G65" s="55"/>
      <c r="H65" s="55"/>
      <c r="I65" s="47"/>
      <c r="J65" s="47"/>
      <c r="K65" s="47"/>
      <c r="L65" s="47"/>
      <c r="M65" s="47"/>
      <c r="N65" s="47"/>
      <c r="O65" s="47"/>
      <c r="P65" s="47"/>
      <c r="Q65" s="47"/>
      <c r="R65" s="47"/>
      <c r="S65" s="47"/>
      <c r="T65" s="47"/>
      <c r="U65" s="47"/>
      <c r="V65" s="48"/>
    </row>
    <row r="66" spans="1:22" ht="16.149999999999999" x14ac:dyDescent="0.7">
      <c r="A66" s="44">
        <v>65</v>
      </c>
      <c r="B66" s="45"/>
      <c r="C66" s="45"/>
      <c r="D66" s="54"/>
      <c r="E66" s="50" t="str">
        <f>IF(
 MOD(SUMPRODUCT(MID(TEXT(D66,"0000000000"),{1,2,3,4,5,6,7,8,9},1)*{10,9,8,7,6,5,4,3,2}),11)
 =
 IF(RIGHT(TEXT(D66,"0000000000"),1)&lt;2, RIGHT(TEXT(D66,"0000000000"),1), 11-RIGHT(TEXT(D66,"0000000000"),1)),
"درست","اشتباه")</f>
        <v>اشتباه</v>
      </c>
      <c r="F66" s="45"/>
      <c r="G66" s="54"/>
      <c r="H66" s="54"/>
      <c r="I66" s="45"/>
      <c r="J66" s="45"/>
      <c r="K66" s="45"/>
      <c r="L66" s="45"/>
      <c r="M66" s="45"/>
      <c r="N66" s="45"/>
      <c r="O66" s="45"/>
      <c r="P66" s="45"/>
      <c r="Q66" s="45"/>
      <c r="R66" s="45"/>
      <c r="S66" s="45"/>
      <c r="T66" s="45"/>
      <c r="U66" s="45"/>
      <c r="V66" s="46"/>
    </row>
    <row r="67" spans="1:22" ht="16.149999999999999" x14ac:dyDescent="0.7">
      <c r="A67" s="52">
        <v>66</v>
      </c>
      <c r="B67" s="47"/>
      <c r="C67" s="47"/>
      <c r="D67" s="55"/>
      <c r="E67" s="50" t="str">
        <f>IF(
 MOD(SUMPRODUCT(MID(TEXT(D67,"0000000000"),{1,2,3,4,5,6,7,8,9},1)*{10,9,8,7,6,5,4,3,2}),11)
 =
 IF(RIGHT(TEXT(D67,"0000000000"),1)&lt;2, RIGHT(TEXT(D67,"0000000000"),1), 11-RIGHT(TEXT(D67,"0000000000"),1)),
"درست","اشتباه")</f>
        <v>اشتباه</v>
      </c>
      <c r="F67" s="47"/>
      <c r="G67" s="55"/>
      <c r="H67" s="55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8"/>
    </row>
    <row r="68" spans="1:22" ht="16.149999999999999" x14ac:dyDescent="0.7">
      <c r="A68" s="44">
        <v>67</v>
      </c>
      <c r="B68" s="45"/>
      <c r="C68" s="45"/>
      <c r="D68" s="54"/>
      <c r="E68" s="50" t="str">
        <f>IF(
 MOD(SUMPRODUCT(MID(TEXT(D68,"0000000000"),{1,2,3,4,5,6,7,8,9},1)*{10,9,8,7,6,5,4,3,2}),11)
 =
 IF(RIGHT(TEXT(D68,"0000000000"),1)&lt;2, RIGHT(TEXT(D68,"0000000000"),1), 11-RIGHT(TEXT(D68,"0000000000"),1)),
"درست","اشتباه")</f>
        <v>اشتباه</v>
      </c>
      <c r="F68" s="45"/>
      <c r="G68" s="54"/>
      <c r="H68" s="54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6"/>
    </row>
    <row r="69" spans="1:22" ht="16.149999999999999" x14ac:dyDescent="0.7">
      <c r="A69" s="52">
        <v>68</v>
      </c>
      <c r="B69" s="47"/>
      <c r="C69" s="47"/>
      <c r="D69" s="55"/>
      <c r="E69" s="50" t="str">
        <f>IF(
 MOD(SUMPRODUCT(MID(TEXT(D69,"0000000000"),{1,2,3,4,5,6,7,8,9},1)*{10,9,8,7,6,5,4,3,2}),11)
 =
 IF(RIGHT(TEXT(D69,"0000000000"),1)&lt;2, RIGHT(TEXT(D69,"0000000000"),1), 11-RIGHT(TEXT(D69,"0000000000"),1)),
"درست","اشتباه")</f>
        <v>اشتباه</v>
      </c>
      <c r="F69" s="47"/>
      <c r="G69" s="55"/>
      <c r="H69" s="55"/>
      <c r="I69" s="47"/>
      <c r="J69" s="47"/>
      <c r="K69" s="47"/>
      <c r="L69" s="47"/>
      <c r="M69" s="47"/>
      <c r="N69" s="47"/>
      <c r="O69" s="47"/>
      <c r="P69" s="47"/>
      <c r="Q69" s="47"/>
      <c r="R69" s="47"/>
      <c r="S69" s="47"/>
      <c r="T69" s="47"/>
      <c r="U69" s="47"/>
      <c r="V69" s="48"/>
    </row>
    <row r="70" spans="1:22" ht="16.149999999999999" x14ac:dyDescent="0.7">
      <c r="A70" s="44">
        <v>69</v>
      </c>
      <c r="B70" s="45"/>
      <c r="C70" s="45"/>
      <c r="D70" s="54"/>
      <c r="E70" s="50" t="str">
        <f>IF(
 MOD(SUMPRODUCT(MID(TEXT(D70,"0000000000"),{1,2,3,4,5,6,7,8,9},1)*{10,9,8,7,6,5,4,3,2}),11)
 =
 IF(RIGHT(TEXT(D70,"0000000000"),1)&lt;2, RIGHT(TEXT(D70,"0000000000"),1), 11-RIGHT(TEXT(D70,"0000000000"),1)),
"درست","اشتباه")</f>
        <v>اشتباه</v>
      </c>
      <c r="F70" s="45"/>
      <c r="G70" s="54"/>
      <c r="H70" s="54"/>
      <c r="I70" s="45"/>
      <c r="J70" s="45"/>
      <c r="K70" s="45"/>
      <c r="L70" s="45"/>
      <c r="M70" s="45"/>
      <c r="N70" s="45"/>
      <c r="O70" s="45"/>
      <c r="P70" s="45"/>
      <c r="Q70" s="45"/>
      <c r="R70" s="45"/>
      <c r="S70" s="45"/>
      <c r="T70" s="45"/>
      <c r="U70" s="45"/>
      <c r="V70" s="46"/>
    </row>
    <row r="71" spans="1:22" ht="16.149999999999999" x14ac:dyDescent="0.7">
      <c r="A71" s="52">
        <v>70</v>
      </c>
      <c r="B71" s="47"/>
      <c r="C71" s="47"/>
      <c r="D71" s="55"/>
      <c r="E71" s="50" t="str">
        <f>IF(
 MOD(SUMPRODUCT(MID(TEXT(D71,"0000000000"),{1,2,3,4,5,6,7,8,9},1)*{10,9,8,7,6,5,4,3,2}),11)
 =
 IF(RIGHT(TEXT(D71,"0000000000"),1)&lt;2, RIGHT(TEXT(D71,"0000000000"),1), 11-RIGHT(TEXT(D71,"0000000000"),1)),
"درست","اشتباه")</f>
        <v>اشتباه</v>
      </c>
      <c r="F71" s="47"/>
      <c r="G71" s="55"/>
      <c r="H71" s="55"/>
      <c r="I71" s="47"/>
      <c r="J71" s="47"/>
      <c r="K71" s="47"/>
      <c r="L71" s="47"/>
      <c r="M71" s="47"/>
      <c r="N71" s="47"/>
      <c r="O71" s="47"/>
      <c r="P71" s="47"/>
      <c r="Q71" s="47"/>
      <c r="R71" s="47"/>
      <c r="S71" s="47"/>
      <c r="T71" s="47"/>
      <c r="U71" s="47"/>
      <c r="V71" s="48"/>
    </row>
    <row r="72" spans="1:22" ht="16.149999999999999" x14ac:dyDescent="0.7">
      <c r="A72" s="44">
        <v>71</v>
      </c>
      <c r="B72" s="45"/>
      <c r="C72" s="45"/>
      <c r="D72" s="54"/>
      <c r="E72" s="50" t="str">
        <f>IF(
 MOD(SUMPRODUCT(MID(TEXT(D72,"0000000000"),{1,2,3,4,5,6,7,8,9},1)*{10,9,8,7,6,5,4,3,2}),11)
 =
 IF(RIGHT(TEXT(D72,"0000000000"),1)&lt;2, RIGHT(TEXT(D72,"0000000000"),1), 11-RIGHT(TEXT(D72,"0000000000"),1)),
"درست","اشتباه")</f>
        <v>اشتباه</v>
      </c>
      <c r="F72" s="45"/>
      <c r="G72" s="54"/>
      <c r="H72" s="54"/>
      <c r="I72" s="45"/>
      <c r="J72" s="45"/>
      <c r="K72" s="45"/>
      <c r="L72" s="45"/>
      <c r="M72" s="45"/>
      <c r="N72" s="45"/>
      <c r="O72" s="45"/>
      <c r="P72" s="45"/>
      <c r="Q72" s="45"/>
      <c r="R72" s="45"/>
      <c r="S72" s="45"/>
      <c r="T72" s="45"/>
      <c r="U72" s="45"/>
      <c r="V72" s="46"/>
    </row>
    <row r="73" spans="1:22" ht="16.149999999999999" x14ac:dyDescent="0.7">
      <c r="A73" s="52">
        <v>72</v>
      </c>
      <c r="B73" s="47"/>
      <c r="C73" s="47"/>
      <c r="D73" s="55"/>
      <c r="E73" s="50" t="str">
        <f>IF(
 MOD(SUMPRODUCT(MID(TEXT(D73,"0000000000"),{1,2,3,4,5,6,7,8,9},1)*{10,9,8,7,6,5,4,3,2}),11)
 =
 IF(RIGHT(TEXT(D73,"0000000000"),1)&lt;2, RIGHT(TEXT(D73,"0000000000"),1), 11-RIGHT(TEXT(D73,"0000000000"),1)),
"درست","اشتباه")</f>
        <v>اشتباه</v>
      </c>
      <c r="F73" s="47"/>
      <c r="G73" s="55"/>
      <c r="H73" s="55"/>
      <c r="I73" s="47"/>
      <c r="J73" s="47"/>
      <c r="K73" s="47"/>
      <c r="L73" s="47"/>
      <c r="M73" s="47"/>
      <c r="N73" s="47"/>
      <c r="O73" s="47"/>
      <c r="P73" s="47"/>
      <c r="Q73" s="47"/>
      <c r="R73" s="47"/>
      <c r="S73" s="47"/>
      <c r="T73" s="47"/>
      <c r="U73" s="47"/>
      <c r="V73" s="48"/>
    </row>
    <row r="74" spans="1:22" ht="16.149999999999999" x14ac:dyDescent="0.7">
      <c r="A74" s="44">
        <v>73</v>
      </c>
      <c r="B74" s="45"/>
      <c r="C74" s="45"/>
      <c r="D74" s="54"/>
      <c r="E74" s="50" t="str">
        <f>IF(
 MOD(SUMPRODUCT(MID(TEXT(D74,"0000000000"),{1,2,3,4,5,6,7,8,9},1)*{10,9,8,7,6,5,4,3,2}),11)
 =
 IF(RIGHT(TEXT(D74,"0000000000"),1)&lt;2, RIGHT(TEXT(D74,"0000000000"),1), 11-RIGHT(TEXT(D74,"0000000000"),1)),
"درست","اشتباه")</f>
        <v>اشتباه</v>
      </c>
      <c r="F74" s="45"/>
      <c r="G74" s="54"/>
      <c r="H74" s="54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  <c r="T74" s="45"/>
      <c r="U74" s="45"/>
      <c r="V74" s="46"/>
    </row>
    <row r="75" spans="1:22" ht="16.149999999999999" x14ac:dyDescent="0.7">
      <c r="A75" s="52">
        <v>74</v>
      </c>
      <c r="B75" s="47"/>
      <c r="C75" s="47"/>
      <c r="D75" s="55"/>
      <c r="E75" s="50" t="str">
        <f>IF(
 MOD(SUMPRODUCT(MID(TEXT(D75,"0000000000"),{1,2,3,4,5,6,7,8,9},1)*{10,9,8,7,6,5,4,3,2}),11)
 =
 IF(RIGHT(TEXT(D75,"0000000000"),1)&lt;2, RIGHT(TEXT(D75,"0000000000"),1), 11-RIGHT(TEXT(D75,"0000000000"),1)),
"درست","اشتباه")</f>
        <v>اشتباه</v>
      </c>
      <c r="F75" s="47"/>
      <c r="G75" s="55"/>
      <c r="H75" s="55"/>
      <c r="I75" s="47"/>
      <c r="J75" s="47"/>
      <c r="K75" s="47"/>
      <c r="L75" s="47"/>
      <c r="M75" s="47"/>
      <c r="N75" s="47"/>
      <c r="O75" s="47"/>
      <c r="P75" s="47"/>
      <c r="Q75" s="47"/>
      <c r="R75" s="47"/>
      <c r="S75" s="47"/>
      <c r="T75" s="47"/>
      <c r="U75" s="47"/>
      <c r="V75" s="48"/>
    </row>
    <row r="76" spans="1:22" ht="16.149999999999999" x14ac:dyDescent="0.7">
      <c r="A76" s="44">
        <v>75</v>
      </c>
      <c r="B76" s="45"/>
      <c r="C76" s="45"/>
      <c r="D76" s="54"/>
      <c r="E76" s="50" t="str">
        <f>IF(
 MOD(SUMPRODUCT(MID(TEXT(D76,"0000000000"),{1,2,3,4,5,6,7,8,9},1)*{10,9,8,7,6,5,4,3,2}),11)
 =
 IF(RIGHT(TEXT(D76,"0000000000"),1)&lt;2, RIGHT(TEXT(D76,"0000000000"),1), 11-RIGHT(TEXT(D76,"0000000000"),1)),
"درست","اشتباه")</f>
        <v>اشتباه</v>
      </c>
      <c r="F76" s="45"/>
      <c r="G76" s="54"/>
      <c r="H76" s="54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  <c r="T76" s="45"/>
      <c r="U76" s="45"/>
      <c r="V76" s="46"/>
    </row>
    <row r="77" spans="1:22" ht="16.149999999999999" x14ac:dyDescent="0.7">
      <c r="A77" s="52">
        <v>76</v>
      </c>
      <c r="B77" s="47"/>
      <c r="C77" s="47"/>
      <c r="D77" s="55"/>
      <c r="E77" s="50" t="str">
        <f>IF(
 MOD(SUMPRODUCT(MID(TEXT(D77,"0000000000"),{1,2,3,4,5,6,7,8,9},1)*{10,9,8,7,6,5,4,3,2}),11)
 =
 IF(RIGHT(TEXT(D77,"0000000000"),1)&lt;2, RIGHT(TEXT(D77,"0000000000"),1), 11-RIGHT(TEXT(D77,"0000000000"),1)),
"درست","اشتباه")</f>
        <v>اشتباه</v>
      </c>
      <c r="F77" s="47"/>
      <c r="G77" s="55"/>
      <c r="H77" s="55"/>
      <c r="I77" s="47"/>
      <c r="J77" s="47"/>
      <c r="K77" s="47"/>
      <c r="L77" s="47"/>
      <c r="M77" s="47"/>
      <c r="N77" s="47"/>
      <c r="O77" s="47"/>
      <c r="P77" s="47"/>
      <c r="Q77" s="47"/>
      <c r="R77" s="47"/>
      <c r="S77" s="47"/>
      <c r="T77" s="47"/>
      <c r="U77" s="47"/>
      <c r="V77" s="48"/>
    </row>
    <row r="78" spans="1:22" ht="16.149999999999999" x14ac:dyDescent="0.7">
      <c r="A78" s="44">
        <v>77</v>
      </c>
      <c r="B78" s="45"/>
      <c r="C78" s="45"/>
      <c r="D78" s="54"/>
      <c r="E78" s="50" t="str">
        <f>IF(
 MOD(SUMPRODUCT(MID(TEXT(D78,"0000000000"),{1,2,3,4,5,6,7,8,9},1)*{10,9,8,7,6,5,4,3,2}),11)
 =
 IF(RIGHT(TEXT(D78,"0000000000"),1)&lt;2, RIGHT(TEXT(D78,"0000000000"),1), 11-RIGHT(TEXT(D78,"0000000000"),1)),
"درست","اشتباه")</f>
        <v>اشتباه</v>
      </c>
      <c r="F78" s="45"/>
      <c r="G78" s="54"/>
      <c r="H78" s="54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  <c r="T78" s="45"/>
      <c r="U78" s="45"/>
      <c r="V78" s="46"/>
    </row>
    <row r="79" spans="1:22" ht="16.149999999999999" x14ac:dyDescent="0.7">
      <c r="A79" s="52">
        <v>78</v>
      </c>
      <c r="B79" s="47"/>
      <c r="C79" s="47"/>
      <c r="D79" s="55"/>
      <c r="E79" s="50" t="str">
        <f>IF(
 MOD(SUMPRODUCT(MID(TEXT(D79,"0000000000"),{1,2,3,4,5,6,7,8,9},1)*{10,9,8,7,6,5,4,3,2}),11)
 =
 IF(RIGHT(TEXT(D79,"0000000000"),1)&lt;2, RIGHT(TEXT(D79,"0000000000"),1), 11-RIGHT(TEXT(D79,"0000000000"),1)),
"درست","اشتباه")</f>
        <v>اشتباه</v>
      </c>
      <c r="F79" s="47"/>
      <c r="G79" s="55"/>
      <c r="H79" s="55"/>
      <c r="I79" s="47"/>
      <c r="J79" s="47"/>
      <c r="K79" s="47"/>
      <c r="L79" s="47"/>
      <c r="M79" s="47"/>
      <c r="N79" s="47"/>
      <c r="O79" s="47"/>
      <c r="P79" s="47"/>
      <c r="Q79" s="47"/>
      <c r="R79" s="47"/>
      <c r="S79" s="47"/>
      <c r="T79" s="47"/>
      <c r="U79" s="47"/>
      <c r="V79" s="48"/>
    </row>
    <row r="80" spans="1:22" ht="16.149999999999999" x14ac:dyDescent="0.7">
      <c r="A80" s="44">
        <v>79</v>
      </c>
      <c r="B80" s="45"/>
      <c r="C80" s="45"/>
      <c r="D80" s="54"/>
      <c r="E80" s="50" t="str">
        <f>IF(
 MOD(SUMPRODUCT(MID(TEXT(D80,"0000000000"),{1,2,3,4,5,6,7,8,9},1)*{10,9,8,7,6,5,4,3,2}),11)
 =
 IF(RIGHT(TEXT(D80,"0000000000"),1)&lt;2, RIGHT(TEXT(D80,"0000000000"),1), 11-RIGHT(TEXT(D80,"0000000000"),1)),
"درست","اشتباه")</f>
        <v>اشتباه</v>
      </c>
      <c r="F80" s="45"/>
      <c r="G80" s="54"/>
      <c r="H80" s="54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  <c r="T80" s="45"/>
      <c r="U80" s="45"/>
      <c r="V80" s="46"/>
    </row>
    <row r="81" spans="1:22" ht="16.149999999999999" x14ac:dyDescent="0.7">
      <c r="A81" s="52">
        <v>80</v>
      </c>
      <c r="B81" s="47"/>
      <c r="C81" s="47"/>
      <c r="D81" s="55"/>
      <c r="E81" s="50" t="str">
        <f>IF(
 MOD(SUMPRODUCT(MID(TEXT(D81,"0000000000"),{1,2,3,4,5,6,7,8,9},1)*{10,9,8,7,6,5,4,3,2}),11)
 =
 IF(RIGHT(TEXT(D81,"0000000000"),1)&lt;2, RIGHT(TEXT(D81,"0000000000"),1), 11-RIGHT(TEXT(D81,"0000000000"),1)),
"درست","اشتباه")</f>
        <v>اشتباه</v>
      </c>
      <c r="F81" s="47"/>
      <c r="G81" s="55"/>
      <c r="H81" s="55"/>
      <c r="I81" s="47"/>
      <c r="J81" s="47"/>
      <c r="K81" s="47"/>
      <c r="L81" s="47"/>
      <c r="M81" s="47"/>
      <c r="N81" s="47"/>
      <c r="O81" s="47"/>
      <c r="P81" s="47"/>
      <c r="Q81" s="47"/>
      <c r="R81" s="47"/>
      <c r="S81" s="47"/>
      <c r="T81" s="47"/>
      <c r="U81" s="47"/>
      <c r="V81" s="48"/>
    </row>
    <row r="82" spans="1:22" ht="16.149999999999999" x14ac:dyDescent="0.7">
      <c r="A82" s="44">
        <v>81</v>
      </c>
      <c r="B82" s="45"/>
      <c r="C82" s="45"/>
      <c r="D82" s="54"/>
      <c r="E82" s="50" t="str">
        <f>IF(
 MOD(SUMPRODUCT(MID(TEXT(D82,"0000000000"),{1,2,3,4,5,6,7,8,9},1)*{10,9,8,7,6,5,4,3,2}),11)
 =
 IF(RIGHT(TEXT(D82,"0000000000"),1)&lt;2, RIGHT(TEXT(D82,"0000000000"),1), 11-RIGHT(TEXT(D82,"0000000000"),1)),
"درست","اشتباه")</f>
        <v>اشتباه</v>
      </c>
      <c r="F82" s="45"/>
      <c r="G82" s="54"/>
      <c r="H82" s="54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  <c r="T82" s="45"/>
      <c r="U82" s="45"/>
      <c r="V82" s="46"/>
    </row>
    <row r="83" spans="1:22" ht="16.149999999999999" x14ac:dyDescent="0.7">
      <c r="A83" s="52">
        <v>82</v>
      </c>
      <c r="B83" s="47"/>
      <c r="C83" s="47"/>
      <c r="D83" s="55"/>
      <c r="E83" s="50" t="str">
        <f>IF(
 MOD(SUMPRODUCT(MID(TEXT(D83,"0000000000"),{1,2,3,4,5,6,7,8,9},1)*{10,9,8,7,6,5,4,3,2}),11)
 =
 IF(RIGHT(TEXT(D83,"0000000000"),1)&lt;2, RIGHT(TEXT(D83,"0000000000"),1), 11-RIGHT(TEXT(D83,"0000000000"),1)),
"درست","اشتباه")</f>
        <v>اشتباه</v>
      </c>
      <c r="F83" s="47"/>
      <c r="G83" s="55"/>
      <c r="H83" s="55"/>
      <c r="I83" s="47"/>
      <c r="J83" s="47"/>
      <c r="K83" s="47"/>
      <c r="L83" s="47"/>
      <c r="M83" s="47"/>
      <c r="N83" s="47"/>
      <c r="O83" s="47"/>
      <c r="P83" s="47"/>
      <c r="Q83" s="47"/>
      <c r="R83" s="47"/>
      <c r="S83" s="47"/>
      <c r="T83" s="47"/>
      <c r="U83" s="47"/>
      <c r="V83" s="48"/>
    </row>
    <row r="84" spans="1:22" ht="16.149999999999999" x14ac:dyDescent="0.7">
      <c r="A84" s="44">
        <v>83</v>
      </c>
      <c r="B84" s="45"/>
      <c r="C84" s="45"/>
      <c r="D84" s="54"/>
      <c r="E84" s="50" t="str">
        <f>IF(
 MOD(SUMPRODUCT(MID(TEXT(D84,"0000000000"),{1,2,3,4,5,6,7,8,9},1)*{10,9,8,7,6,5,4,3,2}),11)
 =
 IF(RIGHT(TEXT(D84,"0000000000"),1)&lt;2, RIGHT(TEXT(D84,"0000000000"),1), 11-RIGHT(TEXT(D84,"0000000000"),1)),
"درست","اشتباه")</f>
        <v>اشتباه</v>
      </c>
      <c r="F84" s="45"/>
      <c r="G84" s="54"/>
      <c r="H84" s="54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  <c r="T84" s="45"/>
      <c r="U84" s="45"/>
      <c r="V84" s="46"/>
    </row>
    <row r="85" spans="1:22" ht="16.149999999999999" x14ac:dyDescent="0.7">
      <c r="A85" s="52">
        <v>84</v>
      </c>
      <c r="B85" s="47"/>
      <c r="C85" s="47"/>
      <c r="D85" s="55"/>
      <c r="E85" s="50" t="str">
        <f>IF(
 MOD(SUMPRODUCT(MID(TEXT(D85,"0000000000"),{1,2,3,4,5,6,7,8,9},1)*{10,9,8,7,6,5,4,3,2}),11)
 =
 IF(RIGHT(TEXT(D85,"0000000000"),1)&lt;2, RIGHT(TEXT(D85,"0000000000"),1), 11-RIGHT(TEXT(D85,"0000000000"),1)),
"درست","اشتباه")</f>
        <v>اشتباه</v>
      </c>
      <c r="F85" s="47"/>
      <c r="G85" s="55"/>
      <c r="H85" s="55"/>
      <c r="I85" s="47"/>
      <c r="J85" s="47"/>
      <c r="K85" s="47"/>
      <c r="L85" s="47"/>
      <c r="M85" s="47"/>
      <c r="N85" s="47"/>
      <c r="O85" s="47"/>
      <c r="P85" s="47"/>
      <c r="Q85" s="47"/>
      <c r="R85" s="47"/>
      <c r="S85" s="47"/>
      <c r="T85" s="47"/>
      <c r="U85" s="47"/>
      <c r="V85" s="48"/>
    </row>
    <row r="86" spans="1:22" ht="16.149999999999999" x14ac:dyDescent="0.7">
      <c r="A86" s="44">
        <v>85</v>
      </c>
      <c r="B86" s="45"/>
      <c r="C86" s="45"/>
      <c r="D86" s="54"/>
      <c r="E86" s="50" t="str">
        <f>IF(
 MOD(SUMPRODUCT(MID(TEXT(D86,"0000000000"),{1,2,3,4,5,6,7,8,9},1)*{10,9,8,7,6,5,4,3,2}),11)
 =
 IF(RIGHT(TEXT(D86,"0000000000"),1)&lt;2, RIGHT(TEXT(D86,"0000000000"),1), 11-RIGHT(TEXT(D86,"0000000000"),1)),
"درست","اشتباه")</f>
        <v>اشتباه</v>
      </c>
      <c r="F86" s="45"/>
      <c r="G86" s="54"/>
      <c r="H86" s="54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  <c r="T86" s="45"/>
      <c r="U86" s="45"/>
      <c r="V86" s="46"/>
    </row>
    <row r="87" spans="1:22" ht="16.149999999999999" x14ac:dyDescent="0.7">
      <c r="A87" s="52">
        <v>86</v>
      </c>
      <c r="B87" s="47"/>
      <c r="C87" s="47"/>
      <c r="D87" s="55"/>
      <c r="E87" s="50" t="str">
        <f>IF(
 MOD(SUMPRODUCT(MID(TEXT(D87,"0000000000"),{1,2,3,4,5,6,7,8,9},1)*{10,9,8,7,6,5,4,3,2}),11)
 =
 IF(RIGHT(TEXT(D87,"0000000000"),1)&lt;2, RIGHT(TEXT(D87,"0000000000"),1), 11-RIGHT(TEXT(D87,"0000000000"),1)),
"درست","اشتباه")</f>
        <v>اشتباه</v>
      </c>
      <c r="F87" s="47"/>
      <c r="G87" s="55"/>
      <c r="H87" s="55"/>
      <c r="I87" s="47"/>
      <c r="J87" s="47"/>
      <c r="K87" s="47"/>
      <c r="L87" s="47"/>
      <c r="M87" s="47"/>
      <c r="N87" s="47"/>
      <c r="O87" s="47"/>
      <c r="P87" s="47"/>
      <c r="Q87" s="47"/>
      <c r="R87" s="47"/>
      <c r="S87" s="47"/>
      <c r="T87" s="47"/>
      <c r="U87" s="47"/>
      <c r="V87" s="48"/>
    </row>
    <row r="88" spans="1:22" ht="16.149999999999999" x14ac:dyDescent="0.7">
      <c r="A88" s="44">
        <v>87</v>
      </c>
      <c r="B88" s="45"/>
      <c r="C88" s="45"/>
      <c r="D88" s="54"/>
      <c r="E88" s="50" t="str">
        <f>IF(
 MOD(SUMPRODUCT(MID(TEXT(D88,"0000000000"),{1,2,3,4,5,6,7,8,9},1)*{10,9,8,7,6,5,4,3,2}),11)
 =
 IF(RIGHT(TEXT(D88,"0000000000"),1)&lt;2, RIGHT(TEXT(D88,"0000000000"),1), 11-RIGHT(TEXT(D88,"0000000000"),1)),
"درست","اشتباه")</f>
        <v>اشتباه</v>
      </c>
      <c r="F88" s="45"/>
      <c r="G88" s="54"/>
      <c r="H88" s="54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  <c r="T88" s="45"/>
      <c r="U88" s="45"/>
      <c r="V88" s="46"/>
    </row>
    <row r="89" spans="1:22" ht="16.149999999999999" x14ac:dyDescent="0.7">
      <c r="A89" s="52">
        <v>88</v>
      </c>
      <c r="B89" s="47"/>
      <c r="C89" s="47"/>
      <c r="D89" s="55"/>
      <c r="E89" s="50" t="str">
        <f>IF(
 MOD(SUMPRODUCT(MID(TEXT(D89,"0000000000"),{1,2,3,4,5,6,7,8,9},1)*{10,9,8,7,6,5,4,3,2}),11)
 =
 IF(RIGHT(TEXT(D89,"0000000000"),1)&lt;2, RIGHT(TEXT(D89,"0000000000"),1), 11-RIGHT(TEXT(D89,"0000000000"),1)),
"درست","اشتباه")</f>
        <v>اشتباه</v>
      </c>
      <c r="F89" s="47"/>
      <c r="G89" s="55"/>
      <c r="H89" s="55"/>
      <c r="I89" s="47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8"/>
    </row>
    <row r="90" spans="1:22" ht="16.149999999999999" x14ac:dyDescent="0.7">
      <c r="A90" s="44">
        <v>89</v>
      </c>
      <c r="B90" s="45"/>
      <c r="C90" s="45"/>
      <c r="D90" s="54"/>
      <c r="E90" s="50" t="str">
        <f>IF(
 MOD(SUMPRODUCT(MID(TEXT(D90,"0000000000"),{1,2,3,4,5,6,7,8,9},1)*{10,9,8,7,6,5,4,3,2}),11)
 =
 IF(RIGHT(TEXT(D90,"0000000000"),1)&lt;2, RIGHT(TEXT(D90,"0000000000"),1), 11-RIGHT(TEXT(D90,"0000000000"),1)),
"درست","اشتباه")</f>
        <v>اشتباه</v>
      </c>
      <c r="F90" s="45"/>
      <c r="G90" s="54"/>
      <c r="H90" s="54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  <c r="T90" s="45"/>
      <c r="U90" s="45"/>
      <c r="V90" s="46"/>
    </row>
    <row r="91" spans="1:22" ht="16.149999999999999" x14ac:dyDescent="0.7">
      <c r="A91" s="52">
        <v>90</v>
      </c>
      <c r="B91" s="47"/>
      <c r="C91" s="47"/>
      <c r="D91" s="55"/>
      <c r="E91" s="50" t="str">
        <f>IF(
 MOD(SUMPRODUCT(MID(TEXT(D91,"0000000000"),{1,2,3,4,5,6,7,8,9},1)*{10,9,8,7,6,5,4,3,2}),11)
 =
 IF(RIGHT(TEXT(D91,"0000000000"),1)&lt;2, RIGHT(TEXT(D91,"0000000000"),1), 11-RIGHT(TEXT(D91,"0000000000"),1)),
"درست","اشتباه")</f>
        <v>اشتباه</v>
      </c>
      <c r="F91" s="47"/>
      <c r="G91" s="55"/>
      <c r="H91" s="55"/>
      <c r="I91" s="47"/>
      <c r="J91" s="47"/>
      <c r="K91" s="47"/>
      <c r="L91" s="47"/>
      <c r="M91" s="47"/>
      <c r="N91" s="47"/>
      <c r="O91" s="47"/>
      <c r="P91" s="47"/>
      <c r="Q91" s="47"/>
      <c r="R91" s="47"/>
      <c r="S91" s="47"/>
      <c r="T91" s="47"/>
      <c r="U91" s="47"/>
      <c r="V91" s="48"/>
    </row>
    <row r="92" spans="1:22" ht="16.149999999999999" x14ac:dyDescent="0.7">
      <c r="A92" s="44">
        <v>91</v>
      </c>
      <c r="B92" s="45"/>
      <c r="C92" s="45"/>
      <c r="D92" s="54"/>
      <c r="E92" s="50" t="str">
        <f>IF(
 MOD(SUMPRODUCT(MID(TEXT(D92,"0000000000"),{1,2,3,4,5,6,7,8,9},1)*{10,9,8,7,6,5,4,3,2}),11)
 =
 IF(RIGHT(TEXT(D92,"0000000000"),1)&lt;2, RIGHT(TEXT(D92,"0000000000"),1), 11-RIGHT(TEXT(D92,"0000000000"),1)),
"درست","اشتباه")</f>
        <v>اشتباه</v>
      </c>
      <c r="F92" s="45"/>
      <c r="G92" s="54"/>
      <c r="H92" s="54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  <c r="T92" s="45"/>
      <c r="U92" s="45"/>
      <c r="V92" s="46"/>
    </row>
    <row r="93" spans="1:22" ht="16.149999999999999" x14ac:dyDescent="0.7">
      <c r="A93" s="52">
        <v>92</v>
      </c>
      <c r="B93" s="47"/>
      <c r="C93" s="47"/>
      <c r="D93" s="55"/>
      <c r="E93" s="50" t="str">
        <f>IF(
 MOD(SUMPRODUCT(MID(TEXT(D93,"0000000000"),{1,2,3,4,5,6,7,8,9},1)*{10,9,8,7,6,5,4,3,2}),11)
 =
 IF(RIGHT(TEXT(D93,"0000000000"),1)&lt;2, RIGHT(TEXT(D93,"0000000000"),1), 11-RIGHT(TEXT(D93,"0000000000"),1)),
"درست","اشتباه")</f>
        <v>اشتباه</v>
      </c>
      <c r="F93" s="47"/>
      <c r="G93" s="55"/>
      <c r="H93" s="55"/>
      <c r="I93" s="47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8"/>
    </row>
    <row r="94" spans="1:22" ht="16.149999999999999" x14ac:dyDescent="0.7">
      <c r="A94" s="44">
        <v>93</v>
      </c>
      <c r="B94" s="45"/>
      <c r="C94" s="45"/>
      <c r="D94" s="54"/>
      <c r="E94" s="50" t="str">
        <f>IF(
 MOD(SUMPRODUCT(MID(TEXT(D94,"0000000000"),{1,2,3,4,5,6,7,8,9},1)*{10,9,8,7,6,5,4,3,2}),11)
 =
 IF(RIGHT(TEXT(D94,"0000000000"),1)&lt;2, RIGHT(TEXT(D94,"0000000000"),1), 11-RIGHT(TEXT(D94,"0000000000"),1)),
"درست","اشتباه")</f>
        <v>اشتباه</v>
      </c>
      <c r="F94" s="45"/>
      <c r="G94" s="54"/>
      <c r="H94" s="54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  <c r="T94" s="45"/>
      <c r="U94" s="45"/>
      <c r="V94" s="46"/>
    </row>
    <row r="95" spans="1:22" ht="16.149999999999999" x14ac:dyDescent="0.7">
      <c r="A95" s="52">
        <v>94</v>
      </c>
      <c r="B95" s="47"/>
      <c r="C95" s="47"/>
      <c r="D95" s="55"/>
      <c r="E95" s="50" t="str">
        <f>IF(
 MOD(SUMPRODUCT(MID(TEXT(D95,"0000000000"),{1,2,3,4,5,6,7,8,9},1)*{10,9,8,7,6,5,4,3,2}),11)
 =
 IF(RIGHT(TEXT(D95,"0000000000"),1)&lt;2, RIGHT(TEXT(D95,"0000000000"),1), 11-RIGHT(TEXT(D95,"0000000000"),1)),
"درست","اشتباه")</f>
        <v>اشتباه</v>
      </c>
      <c r="F95" s="47"/>
      <c r="G95" s="55"/>
      <c r="H95" s="55"/>
      <c r="I95" s="47"/>
      <c r="J95" s="47"/>
      <c r="K95" s="47"/>
      <c r="L95" s="47"/>
      <c r="M95" s="47"/>
      <c r="N95" s="47"/>
      <c r="O95" s="47"/>
      <c r="P95" s="47"/>
      <c r="Q95" s="47"/>
      <c r="R95" s="47"/>
      <c r="S95" s="47"/>
      <c r="T95" s="47"/>
      <c r="U95" s="47"/>
      <c r="V95" s="48"/>
    </row>
    <row r="96" spans="1:22" ht="16.149999999999999" x14ac:dyDescent="0.7">
      <c r="A96" s="44">
        <v>95</v>
      </c>
      <c r="B96" s="45"/>
      <c r="C96" s="45"/>
      <c r="D96" s="54"/>
      <c r="E96" s="50" t="str">
        <f>IF(
 MOD(SUMPRODUCT(MID(TEXT(D96,"0000000000"),{1,2,3,4,5,6,7,8,9},1)*{10,9,8,7,6,5,4,3,2}),11)
 =
 IF(RIGHT(TEXT(D96,"0000000000"),1)&lt;2, RIGHT(TEXT(D96,"0000000000"),1), 11-RIGHT(TEXT(D96,"0000000000"),1)),
"درست","اشتباه")</f>
        <v>اشتباه</v>
      </c>
      <c r="F96" s="45"/>
      <c r="G96" s="54"/>
      <c r="H96" s="54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  <c r="T96" s="45"/>
      <c r="U96" s="45"/>
      <c r="V96" s="46"/>
    </row>
    <row r="97" spans="1:22" ht="16.149999999999999" x14ac:dyDescent="0.7">
      <c r="A97" s="52">
        <v>96</v>
      </c>
      <c r="B97" s="47"/>
      <c r="C97" s="47"/>
      <c r="D97" s="55"/>
      <c r="E97" s="50" t="str">
        <f>IF(
 MOD(SUMPRODUCT(MID(TEXT(D97,"0000000000"),{1,2,3,4,5,6,7,8,9},1)*{10,9,8,7,6,5,4,3,2}),11)
 =
 IF(RIGHT(TEXT(D97,"0000000000"),1)&lt;2, RIGHT(TEXT(D97,"0000000000"),1), 11-RIGHT(TEXT(D97,"0000000000"),1)),
"درست","اشتباه")</f>
        <v>اشتباه</v>
      </c>
      <c r="F97" s="47"/>
      <c r="G97" s="55"/>
      <c r="H97" s="55"/>
      <c r="I97" s="47"/>
      <c r="J97" s="47"/>
      <c r="K97" s="47"/>
      <c r="L97" s="47"/>
      <c r="M97" s="47"/>
      <c r="N97" s="47"/>
      <c r="O97" s="47"/>
      <c r="P97" s="47"/>
      <c r="Q97" s="47"/>
      <c r="R97" s="47"/>
      <c r="S97" s="47"/>
      <c r="T97" s="47"/>
      <c r="U97" s="47"/>
      <c r="V97" s="48"/>
    </row>
    <row r="98" spans="1:22" ht="16.149999999999999" x14ac:dyDescent="0.7">
      <c r="A98" s="44">
        <v>97</v>
      </c>
      <c r="B98" s="45"/>
      <c r="C98" s="45"/>
      <c r="D98" s="54"/>
      <c r="E98" s="50" t="str">
        <f>IF(
 MOD(SUMPRODUCT(MID(TEXT(D98,"0000000000"),{1,2,3,4,5,6,7,8,9},1)*{10,9,8,7,6,5,4,3,2}),11)
 =
 IF(RIGHT(TEXT(D98,"0000000000"),1)&lt;2, RIGHT(TEXT(D98,"0000000000"),1), 11-RIGHT(TEXT(D98,"0000000000"),1)),
"درست","اشتباه")</f>
        <v>اشتباه</v>
      </c>
      <c r="F98" s="45"/>
      <c r="G98" s="54"/>
      <c r="H98" s="54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  <c r="T98" s="45"/>
      <c r="U98" s="45"/>
      <c r="V98" s="46"/>
    </row>
    <row r="99" spans="1:22" ht="16.149999999999999" x14ac:dyDescent="0.7">
      <c r="A99" s="52">
        <v>98</v>
      </c>
      <c r="B99" s="47"/>
      <c r="C99" s="47"/>
      <c r="D99" s="55"/>
      <c r="E99" s="50" t="str">
        <f>IF(
 MOD(SUMPRODUCT(MID(TEXT(D99,"0000000000"),{1,2,3,4,5,6,7,8,9},1)*{10,9,8,7,6,5,4,3,2}),11)
 =
 IF(RIGHT(TEXT(D99,"0000000000"),1)&lt;2, RIGHT(TEXT(D99,"0000000000"),1), 11-RIGHT(TEXT(D99,"0000000000"),1)),
"درست","اشتباه")</f>
        <v>اشتباه</v>
      </c>
      <c r="F99" s="47"/>
      <c r="G99" s="55"/>
      <c r="H99" s="55"/>
      <c r="I99" s="47"/>
      <c r="J99" s="47"/>
      <c r="K99" s="47"/>
      <c r="L99" s="47"/>
      <c r="M99" s="47"/>
      <c r="N99" s="47"/>
      <c r="O99" s="47"/>
      <c r="P99" s="47"/>
      <c r="Q99" s="47"/>
      <c r="R99" s="47"/>
      <c r="S99" s="47"/>
      <c r="T99" s="47"/>
      <c r="U99" s="47"/>
      <c r="V99" s="48"/>
    </row>
    <row r="100" spans="1:22" ht="16.149999999999999" x14ac:dyDescent="0.7">
      <c r="A100" s="44">
        <v>99</v>
      </c>
      <c r="B100" s="45"/>
      <c r="C100" s="45"/>
      <c r="D100" s="54"/>
      <c r="E100" s="50" t="str">
        <f>IF(
 MOD(SUMPRODUCT(MID(TEXT(D100,"0000000000"),{1,2,3,4,5,6,7,8,9},1)*{10,9,8,7,6,5,4,3,2}),11)
 =
 IF(RIGHT(TEXT(D100,"0000000000"),1)&lt;2, RIGHT(TEXT(D100,"0000000000"),1), 11-RIGHT(TEXT(D100,"0000000000"),1)),
"درست","اشتباه")</f>
        <v>اشتباه</v>
      </c>
      <c r="F100" s="45"/>
      <c r="G100" s="54"/>
      <c r="H100" s="54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  <c r="T100" s="45"/>
      <c r="U100" s="45"/>
      <c r="V100" s="46"/>
    </row>
    <row r="101" spans="1:22" ht="16.149999999999999" x14ac:dyDescent="0.7">
      <c r="A101" s="52">
        <v>100</v>
      </c>
      <c r="B101" s="47"/>
      <c r="C101" s="47"/>
      <c r="D101" s="55"/>
      <c r="E101" s="50" t="str">
        <f>IF(
 MOD(SUMPRODUCT(MID(TEXT(D101,"0000000000"),{1,2,3,4,5,6,7,8,9},1)*{10,9,8,7,6,5,4,3,2}),11)
 =
 IF(RIGHT(TEXT(D101,"0000000000"),1)&lt;2, RIGHT(TEXT(D101,"0000000000"),1), 11-RIGHT(TEXT(D101,"0000000000"),1)),
"درست","اشتباه")</f>
        <v>اشتباه</v>
      </c>
      <c r="F101" s="47"/>
      <c r="G101" s="55"/>
      <c r="H101" s="55"/>
      <c r="I101" s="47"/>
      <c r="J101" s="47"/>
      <c r="K101" s="47"/>
      <c r="L101" s="47"/>
      <c r="M101" s="47"/>
      <c r="N101" s="47"/>
      <c r="O101" s="47"/>
      <c r="P101" s="47"/>
      <c r="Q101" s="47"/>
      <c r="R101" s="47"/>
      <c r="S101" s="47"/>
      <c r="T101" s="47"/>
      <c r="U101" s="47"/>
      <c r="V101" s="48"/>
    </row>
    <row r="102" spans="1:22" ht="16.149999999999999" x14ac:dyDescent="0.7">
      <c r="A102" s="44">
        <v>101</v>
      </c>
      <c r="B102" s="45"/>
      <c r="C102" s="45"/>
      <c r="D102" s="54"/>
      <c r="E102" s="50" t="str">
        <f>IF(
 MOD(SUMPRODUCT(MID(TEXT(D102,"0000000000"),{1,2,3,4,5,6,7,8,9},1)*{10,9,8,7,6,5,4,3,2}),11)
 =
 IF(RIGHT(TEXT(D102,"0000000000"),1)&lt;2, RIGHT(TEXT(D102,"0000000000"),1), 11-RIGHT(TEXT(D102,"0000000000"),1)),
"درست","اشتباه")</f>
        <v>اشتباه</v>
      </c>
      <c r="F102" s="45"/>
      <c r="G102" s="54"/>
      <c r="H102" s="54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  <c r="T102" s="45"/>
      <c r="U102" s="45"/>
      <c r="V102" s="46"/>
    </row>
    <row r="103" spans="1:22" ht="16.149999999999999" x14ac:dyDescent="0.7">
      <c r="A103" s="52">
        <v>102</v>
      </c>
      <c r="B103" s="47"/>
      <c r="C103" s="47"/>
      <c r="D103" s="55"/>
      <c r="E103" s="50" t="str">
        <f>IF(
 MOD(SUMPRODUCT(MID(TEXT(D103,"0000000000"),{1,2,3,4,5,6,7,8,9},1)*{10,9,8,7,6,5,4,3,2}),11)
 =
 IF(RIGHT(TEXT(D103,"0000000000"),1)&lt;2, RIGHT(TEXT(D103,"0000000000"),1), 11-RIGHT(TEXT(D103,"0000000000"),1)),
"درست","اشتباه")</f>
        <v>اشتباه</v>
      </c>
      <c r="F103" s="47"/>
      <c r="G103" s="55"/>
      <c r="H103" s="55"/>
      <c r="I103" s="47"/>
      <c r="J103" s="47"/>
      <c r="K103" s="47"/>
      <c r="L103" s="47"/>
      <c r="M103" s="47"/>
      <c r="N103" s="47"/>
      <c r="O103" s="47"/>
      <c r="P103" s="47"/>
      <c r="Q103" s="47"/>
      <c r="R103" s="47"/>
      <c r="S103" s="47"/>
      <c r="T103" s="47"/>
      <c r="U103" s="47"/>
      <c r="V103" s="48"/>
    </row>
    <row r="104" spans="1:22" ht="16.149999999999999" x14ac:dyDescent="0.7">
      <c r="A104" s="44">
        <v>103</v>
      </c>
      <c r="B104" s="45"/>
      <c r="C104" s="45"/>
      <c r="D104" s="54"/>
      <c r="E104" s="50" t="str">
        <f>IF(
 MOD(SUMPRODUCT(MID(TEXT(D104,"0000000000"),{1,2,3,4,5,6,7,8,9},1)*{10,9,8,7,6,5,4,3,2}),11)
 =
 IF(RIGHT(TEXT(D104,"0000000000"),1)&lt;2, RIGHT(TEXT(D104,"0000000000"),1), 11-RIGHT(TEXT(D104,"0000000000"),1)),
"درست","اشتباه")</f>
        <v>اشتباه</v>
      </c>
      <c r="F104" s="45"/>
      <c r="G104" s="54"/>
      <c r="H104" s="54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  <c r="T104" s="45"/>
      <c r="U104" s="45"/>
      <c r="V104" s="46"/>
    </row>
    <row r="105" spans="1:22" ht="16.149999999999999" x14ac:dyDescent="0.7">
      <c r="A105" s="52">
        <v>104</v>
      </c>
      <c r="B105" s="47"/>
      <c r="C105" s="47"/>
      <c r="D105" s="55"/>
      <c r="E105" s="50" t="str">
        <f>IF(
 MOD(SUMPRODUCT(MID(TEXT(D105,"0000000000"),{1,2,3,4,5,6,7,8,9},1)*{10,9,8,7,6,5,4,3,2}),11)
 =
 IF(RIGHT(TEXT(D105,"0000000000"),1)&lt;2, RIGHT(TEXT(D105,"0000000000"),1), 11-RIGHT(TEXT(D105,"0000000000"),1)),
"درست","اشتباه")</f>
        <v>اشتباه</v>
      </c>
      <c r="F105" s="47"/>
      <c r="G105" s="55"/>
      <c r="H105" s="55"/>
      <c r="I105" s="47"/>
      <c r="J105" s="47"/>
      <c r="K105" s="47"/>
      <c r="L105" s="47"/>
      <c r="M105" s="47"/>
      <c r="N105" s="47"/>
      <c r="O105" s="47"/>
      <c r="P105" s="47"/>
      <c r="Q105" s="47"/>
      <c r="R105" s="47"/>
      <c r="S105" s="47"/>
      <c r="T105" s="47"/>
      <c r="U105" s="47"/>
      <c r="V105" s="48"/>
    </row>
    <row r="106" spans="1:22" ht="16.149999999999999" x14ac:dyDescent="0.7">
      <c r="A106" s="44">
        <v>105</v>
      </c>
      <c r="B106" s="45"/>
      <c r="C106" s="45"/>
      <c r="D106" s="54"/>
      <c r="E106" s="50" t="str">
        <f>IF(
 MOD(SUMPRODUCT(MID(TEXT(D106,"0000000000"),{1,2,3,4,5,6,7,8,9},1)*{10,9,8,7,6,5,4,3,2}),11)
 =
 IF(RIGHT(TEXT(D106,"0000000000"),1)&lt;2, RIGHT(TEXT(D106,"0000000000"),1), 11-RIGHT(TEXT(D106,"0000000000"),1)),
"درست","اشتباه")</f>
        <v>اشتباه</v>
      </c>
      <c r="F106" s="45"/>
      <c r="G106" s="54"/>
      <c r="H106" s="54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  <c r="T106" s="45"/>
      <c r="U106" s="45"/>
      <c r="V106" s="46"/>
    </row>
    <row r="107" spans="1:22" ht="16.149999999999999" x14ac:dyDescent="0.7">
      <c r="A107" s="52">
        <v>106</v>
      </c>
      <c r="B107" s="47"/>
      <c r="C107" s="47"/>
      <c r="D107" s="55"/>
      <c r="E107" s="50" t="str">
        <f>IF(
 MOD(SUMPRODUCT(MID(TEXT(D107,"0000000000"),{1,2,3,4,5,6,7,8,9},1)*{10,9,8,7,6,5,4,3,2}),11)
 =
 IF(RIGHT(TEXT(D107,"0000000000"),1)&lt;2, RIGHT(TEXT(D107,"0000000000"),1), 11-RIGHT(TEXT(D107,"0000000000"),1)),
"درست","اشتباه")</f>
        <v>اشتباه</v>
      </c>
      <c r="F107" s="47"/>
      <c r="G107" s="55"/>
      <c r="H107" s="55"/>
      <c r="I107" s="47"/>
      <c r="J107" s="47"/>
      <c r="K107" s="47"/>
      <c r="L107" s="47"/>
      <c r="M107" s="47"/>
      <c r="N107" s="47"/>
      <c r="O107" s="47"/>
      <c r="P107" s="47"/>
      <c r="Q107" s="47"/>
      <c r="R107" s="47"/>
      <c r="S107" s="47"/>
      <c r="T107" s="47"/>
      <c r="U107" s="47"/>
      <c r="V107" s="48"/>
    </row>
    <row r="108" spans="1:22" ht="16.149999999999999" x14ac:dyDescent="0.7">
      <c r="A108" s="44">
        <v>107</v>
      </c>
      <c r="B108" s="45"/>
      <c r="C108" s="45"/>
      <c r="D108" s="54"/>
      <c r="E108" s="50" t="str">
        <f>IF(
 MOD(SUMPRODUCT(MID(TEXT(D108,"0000000000"),{1,2,3,4,5,6,7,8,9},1)*{10,9,8,7,6,5,4,3,2}),11)
 =
 IF(RIGHT(TEXT(D108,"0000000000"),1)&lt;2, RIGHT(TEXT(D108,"0000000000"),1), 11-RIGHT(TEXT(D108,"0000000000"),1)),
"درست","اشتباه")</f>
        <v>اشتباه</v>
      </c>
      <c r="F108" s="45"/>
      <c r="G108" s="54"/>
      <c r="H108" s="54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  <c r="T108" s="45"/>
      <c r="U108" s="45"/>
      <c r="V108" s="46"/>
    </row>
    <row r="109" spans="1:22" ht="16.149999999999999" x14ac:dyDescent="0.7">
      <c r="A109" s="52">
        <v>108</v>
      </c>
      <c r="B109" s="47"/>
      <c r="C109" s="47"/>
      <c r="D109" s="55"/>
      <c r="E109" s="50" t="str">
        <f>IF(
 MOD(SUMPRODUCT(MID(TEXT(D109,"0000000000"),{1,2,3,4,5,6,7,8,9},1)*{10,9,8,7,6,5,4,3,2}),11)
 =
 IF(RIGHT(TEXT(D109,"0000000000"),1)&lt;2, RIGHT(TEXT(D109,"0000000000"),1), 11-RIGHT(TEXT(D109,"0000000000"),1)),
"درست","اشتباه")</f>
        <v>اشتباه</v>
      </c>
      <c r="F109" s="47"/>
      <c r="G109" s="55"/>
      <c r="H109" s="55"/>
      <c r="I109" s="47"/>
      <c r="J109" s="47"/>
      <c r="K109" s="47"/>
      <c r="L109" s="47"/>
      <c r="M109" s="47"/>
      <c r="N109" s="47"/>
      <c r="O109" s="47"/>
      <c r="P109" s="47"/>
      <c r="Q109" s="47"/>
      <c r="R109" s="47"/>
      <c r="S109" s="47"/>
      <c r="T109" s="47"/>
      <c r="U109" s="47"/>
      <c r="V109" s="48"/>
    </row>
    <row r="110" spans="1:22" ht="16.149999999999999" x14ac:dyDescent="0.7">
      <c r="A110" s="44">
        <v>109</v>
      </c>
      <c r="B110" s="45"/>
      <c r="C110" s="45"/>
      <c r="D110" s="54"/>
      <c r="E110" s="50" t="str">
        <f>IF(
 MOD(SUMPRODUCT(MID(TEXT(D110,"0000000000"),{1,2,3,4,5,6,7,8,9},1)*{10,9,8,7,6,5,4,3,2}),11)
 =
 IF(RIGHT(TEXT(D110,"0000000000"),1)&lt;2, RIGHT(TEXT(D110,"0000000000"),1), 11-RIGHT(TEXT(D110,"0000000000"),1)),
"درست","اشتباه")</f>
        <v>اشتباه</v>
      </c>
      <c r="F110" s="45"/>
      <c r="G110" s="54"/>
      <c r="H110" s="54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  <c r="T110" s="45"/>
      <c r="U110" s="45"/>
      <c r="V110" s="46"/>
    </row>
  </sheetData>
  <autoFilter ref="A1:V110" xr:uid="{00000000-0009-0000-0000-000003000000}"/>
  <dataValidations count="3">
    <dataValidation type="custom" showInputMessage="1" showErrorMessage="1" error="تاریخ به درستی وارد نشده است" sqref="H1:H20 H24:H110" xr:uid="{00000000-0002-0000-0300-000000000000}">
      <formula1>AND(H1&gt;="1383/07/01", H1&lt;="1389/07/01")</formula1>
    </dataValidation>
    <dataValidation type="custom" showInputMessage="1" showErrorMessage="1" error="شماره تماس وارد شده باید 11 رقم باشد و با 09 شروع شود" sqref="G1:G20 G24:G110" xr:uid="{00000000-0002-0000-0300-000001000000}">
      <formula1>AND(LEFT(G1,2)="09", LEN(G1)=11)</formula1>
    </dataValidation>
    <dataValidation type="custom" showInputMessage="1" showErrorMessage="1" error="شماره کلاس باید 1 یا 2 باشد" sqref="O2:O20 O24:O110" xr:uid="{00000000-0002-0000-0300-000002000000}">
      <formula1>OR(O2=1, O2=2)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یازدهم انسانی</vt:lpstr>
      <vt:lpstr>یازدهم تجربی</vt:lpstr>
      <vt:lpstr>دوازدهم انسانی</vt:lpstr>
      <vt:lpstr>دوازدهم تجربی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2025-12-06T15:08:29Z</dcterms:modified>
</cp:coreProperties>
</file>